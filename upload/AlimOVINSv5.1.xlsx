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comments2.xml" ContentType="application/vnd.openxmlformats-officedocument.spreadsheetml.comments+xml"/>
  <Override PartName="/xl/drawings/drawing1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18.xml" ContentType="application/vnd.openxmlformats-officedocument.drawing+xml"/>
  <Override PartName="/xl/ctrlProps/ctrlProp55.xml" ContentType="application/vnd.ms-excel.controlproperties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TIA NOUREDDINE\Downloads\"/>
    </mc:Choice>
  </mc:AlternateContent>
  <bookViews>
    <workbookView xWindow="0" yWindow="0" windowWidth="20490" windowHeight="7635" tabRatio="921" firstSheet="5" activeTab="17"/>
  </bookViews>
  <sheets>
    <sheet name="ALIMOVINS" sheetId="20" r:id="rId1"/>
    <sheet name="ACCUEIL" sheetId="6" r:id="rId2"/>
    <sheet name="PREVISION" sheetId="25" r:id="rId3"/>
    <sheet name="ANIMAL" sheetId="3" r:id="rId4"/>
    <sheet name="FOURRAGE" sheetId="1" r:id="rId5"/>
    <sheet name="CONCENTRE" sheetId="2" r:id="rId6"/>
    <sheet name="CMV" sheetId="8" r:id="rId7"/>
    <sheet name="BILAN" sheetId="12" r:id="rId8"/>
    <sheet name="MELANGE" sheetId="4" r:id="rId9"/>
    <sheet name="RATION" sheetId="5" r:id="rId10"/>
    <sheet name="COUT" sheetId="9" r:id="rId11"/>
    <sheet name="IMPRIMER" sheetId="7" r:id="rId12"/>
    <sheet name="IMPRIMCOUT" sheetId="15" r:id="rId13"/>
    <sheet name="AGNEAU" sheetId="18" r:id="rId14"/>
    <sheet name="PATURAGE" sheetId="19" r:id="rId15"/>
    <sheet name="NOUVEAU" sheetId="21" r:id="rId16"/>
    <sheet name="STOCKS" sheetId="23" r:id="rId17"/>
    <sheet name="BESOINS" sheetId="24" r:id="rId18"/>
  </sheets>
  <definedNames>
    <definedName name="Brebis">ANIMAL!$D$24:$D$26</definedName>
    <definedName name="Céréale">COUT!$Q$29:$Q$36</definedName>
    <definedName name="Divers">COUT!$Q$55:$Q$63</definedName>
    <definedName name="Fibres">COUT!$Q$82:$Q$89</definedName>
    <definedName name="Graines">COUT!$Q$45:$Q$53</definedName>
    <definedName name="Mél">FOURRAGE!A1</definedName>
    <definedName name="Melange">MELANGE!$A$1</definedName>
    <definedName name="Mes_concentrés">NOUVEAU!$R$22:$R$36</definedName>
    <definedName name="Minéraux">COUT!$Q$65:$Q$80</definedName>
    <definedName name="_xlnm.Print_Area" localSheetId="3">ANIMAL!$C$139:$I$299</definedName>
    <definedName name="_xlnm.Print_Area" localSheetId="12">IMPRIMCOUT!$A$1:$N$24</definedName>
    <definedName name="Tourteau">COUT!$Q$38:$Q$43</definedName>
  </definedNames>
  <calcPr calcId="162913"/>
</workbook>
</file>

<file path=xl/calcChain.xml><?xml version="1.0" encoding="utf-8"?>
<calcChain xmlns="http://schemas.openxmlformats.org/spreadsheetml/2006/main">
  <c r="G17" i="2" l="1"/>
  <c r="F17" i="2"/>
  <c r="E17" i="2"/>
  <c r="AB19" i="18" l="1"/>
  <c r="AA19" i="18"/>
  <c r="Z19" i="18"/>
  <c r="Y19" i="18"/>
  <c r="X19" i="18"/>
  <c r="AB17" i="18"/>
  <c r="AA17" i="18"/>
  <c r="Z17" i="18"/>
  <c r="Y17" i="18"/>
  <c r="X17" i="18"/>
  <c r="AB15" i="18"/>
  <c r="AA15" i="18"/>
  <c r="Z15" i="18"/>
  <c r="Y15" i="18"/>
  <c r="X15" i="18"/>
  <c r="AB13" i="18"/>
  <c r="AA13" i="18"/>
  <c r="Z13" i="18"/>
  <c r="Y13" i="18"/>
  <c r="X13" i="18"/>
  <c r="X11" i="18"/>
  <c r="AB11" i="18"/>
  <c r="AA11" i="18"/>
  <c r="Z11" i="18"/>
  <c r="Y11" i="18"/>
  <c r="X9" i="18"/>
  <c r="AB9" i="18"/>
  <c r="AA9" i="18"/>
  <c r="Z9" i="18"/>
  <c r="Y9" i="18"/>
  <c r="L19" i="9"/>
  <c r="L17" i="9"/>
  <c r="L15" i="9"/>
  <c r="L13" i="9"/>
  <c r="L11" i="9"/>
  <c r="M9" i="9"/>
  <c r="L9" i="9"/>
  <c r="K9" i="9"/>
  <c r="J9" i="9"/>
  <c r="I9" i="9"/>
  <c r="H9" i="9"/>
  <c r="G9" i="9"/>
  <c r="F9" i="9"/>
  <c r="M11" i="9"/>
  <c r="K11" i="9"/>
  <c r="J11" i="9"/>
  <c r="I11" i="9"/>
  <c r="H11" i="9"/>
  <c r="G11" i="9"/>
  <c r="F11" i="9"/>
  <c r="M13" i="9"/>
  <c r="K13" i="9"/>
  <c r="J13" i="9"/>
  <c r="I13" i="9"/>
  <c r="H13" i="9"/>
  <c r="G13" i="9"/>
  <c r="F13" i="9"/>
  <c r="M15" i="9"/>
  <c r="K15" i="9"/>
  <c r="J15" i="9"/>
  <c r="I15" i="9"/>
  <c r="H15" i="9"/>
  <c r="G15" i="9"/>
  <c r="F15" i="9"/>
  <c r="M19" i="9"/>
  <c r="K19" i="9"/>
  <c r="J19" i="9"/>
  <c r="I19" i="9"/>
  <c r="H19" i="9"/>
  <c r="G19" i="9"/>
  <c r="F19" i="9"/>
  <c r="M17" i="9"/>
  <c r="K17" i="9"/>
  <c r="J17" i="9"/>
  <c r="I17" i="9"/>
  <c r="H17" i="9"/>
  <c r="G17" i="9"/>
  <c r="F17" i="9"/>
  <c r="K18" i="15" l="1"/>
  <c r="J18" i="15"/>
  <c r="J16" i="15"/>
  <c r="J14" i="15"/>
  <c r="J12" i="15"/>
  <c r="K16" i="15"/>
  <c r="K14" i="15"/>
  <c r="K12" i="15"/>
  <c r="K10" i="15"/>
  <c r="J10" i="15"/>
  <c r="J8" i="15"/>
  <c r="K8" i="15"/>
  <c r="P71" i="18" l="1"/>
  <c r="R71" i="18" s="1"/>
  <c r="P70" i="18"/>
  <c r="P69" i="18"/>
  <c r="P68" i="18"/>
  <c r="P67" i="18"/>
  <c r="P66" i="18"/>
  <c r="Q71" i="18"/>
  <c r="Q70" i="18"/>
  <c r="Q69" i="18"/>
  <c r="Q68" i="18"/>
  <c r="Q67" i="18"/>
  <c r="Q66" i="18"/>
  <c r="Q54" i="18"/>
  <c r="R67" i="18" l="1"/>
  <c r="R69" i="18"/>
  <c r="R70" i="18"/>
  <c r="R68" i="18"/>
  <c r="R66" i="18"/>
  <c r="P59" i="18"/>
  <c r="R59" i="18" s="1"/>
  <c r="P58" i="18"/>
  <c r="P57" i="18"/>
  <c r="P56" i="18"/>
  <c r="P55" i="18"/>
  <c r="P54" i="18"/>
  <c r="Q59" i="18"/>
  <c r="Q58" i="18"/>
  <c r="Q57" i="18"/>
  <c r="Q56" i="18"/>
  <c r="Q55" i="18"/>
  <c r="R58" i="18" l="1"/>
  <c r="Q74" i="18"/>
  <c r="T27" i="18" s="1"/>
  <c r="R56" i="18"/>
  <c r="R55" i="18"/>
  <c r="R57" i="18"/>
  <c r="R54" i="18"/>
  <c r="Q62" i="18" l="1"/>
  <c r="U23" i="18" s="1"/>
  <c r="I34" i="23"/>
  <c r="W34" i="23"/>
  <c r="W32" i="23" l="1"/>
  <c r="W30" i="23"/>
  <c r="W28" i="23"/>
  <c r="W26" i="23"/>
  <c r="W24" i="23"/>
  <c r="W22" i="23"/>
  <c r="W18" i="23"/>
  <c r="W16" i="23"/>
  <c r="W14" i="23"/>
  <c r="W12" i="23"/>
  <c r="I32" i="23"/>
  <c r="I30" i="23"/>
  <c r="I28" i="23"/>
  <c r="I26" i="23"/>
  <c r="I24" i="23"/>
  <c r="I22" i="23"/>
  <c r="I18" i="23"/>
  <c r="I16" i="23"/>
  <c r="I14" i="23"/>
  <c r="I12" i="23"/>
  <c r="W10" i="23"/>
  <c r="I10" i="23"/>
  <c r="Q14" i="1" l="1"/>
  <c r="Q12" i="1"/>
  <c r="O14" i="1"/>
  <c r="O12" i="1"/>
  <c r="C16" i="21" l="1"/>
  <c r="N16" i="21"/>
  <c r="M16" i="21"/>
  <c r="L16" i="21"/>
  <c r="K16" i="21"/>
  <c r="J16" i="21"/>
  <c r="I16" i="21"/>
  <c r="J10" i="25" l="1"/>
  <c r="N20" i="25"/>
  <c r="N17" i="21" s="1"/>
  <c r="N18" i="25"/>
  <c r="M17" i="21" s="1"/>
  <c r="C35" i="25"/>
  <c r="C36" i="25" s="1"/>
  <c r="C34" i="25"/>
  <c r="C33" i="25"/>
  <c r="I27" i="25"/>
  <c r="C27" i="25"/>
  <c r="J22" i="25"/>
  <c r="K22" i="25" s="1"/>
  <c r="J14" i="25" l="1"/>
  <c r="J17" i="21" s="1"/>
  <c r="J12" i="25"/>
  <c r="I17" i="21" s="1"/>
  <c r="C29" i="25"/>
  <c r="C32" i="25" s="1"/>
  <c r="J20" i="25" s="1"/>
  <c r="L17" i="21" s="1"/>
  <c r="O7" i="2"/>
  <c r="N7" i="2"/>
  <c r="N16" i="2"/>
  <c r="N13" i="2"/>
  <c r="N14" i="2"/>
  <c r="N17" i="2"/>
  <c r="T7" i="2"/>
  <c r="T8" i="2"/>
  <c r="C30" i="25" l="1"/>
  <c r="J16" i="25" s="1"/>
  <c r="C31" i="25"/>
  <c r="J18" i="25" s="1"/>
  <c r="K17" i="21" s="1"/>
  <c r="T7" i="3"/>
  <c r="R7" i="3"/>
  <c r="F222" i="3" l="1"/>
  <c r="F186" i="3" s="1"/>
  <c r="F150" i="3" s="1"/>
  <c r="G222" i="3"/>
  <c r="G186" i="3" s="1"/>
  <c r="G150" i="3" s="1"/>
  <c r="F223" i="3"/>
  <c r="F187" i="3" s="1"/>
  <c r="F151" i="3" s="1"/>
  <c r="G223" i="3"/>
  <c r="G187" i="3" s="1"/>
  <c r="G151" i="3" s="1"/>
  <c r="F224" i="3"/>
  <c r="F188" i="3" s="1"/>
  <c r="F152" i="3" s="1"/>
  <c r="G224" i="3"/>
  <c r="G188" i="3" s="1"/>
  <c r="G152" i="3" s="1"/>
  <c r="F294" i="3"/>
  <c r="G294" i="3"/>
  <c r="F295" i="3"/>
  <c r="G295" i="3"/>
  <c r="F296" i="3"/>
  <c r="G296" i="3"/>
  <c r="G256" i="3"/>
  <c r="G220" i="3" s="1"/>
  <c r="G184" i="3" s="1"/>
  <c r="G148" i="3" s="1"/>
  <c r="G257" i="3"/>
  <c r="G221" i="3" s="1"/>
  <c r="G185" i="3" s="1"/>
  <c r="G149" i="3" s="1"/>
  <c r="G255" i="3"/>
  <c r="G219" i="3" s="1"/>
  <c r="G183" i="3" s="1"/>
  <c r="G147" i="3" s="1"/>
  <c r="F256" i="3"/>
  <c r="F220" i="3" s="1"/>
  <c r="F184" i="3" s="1"/>
  <c r="F148" i="3" s="1"/>
  <c r="F257" i="3"/>
  <c r="F221" i="3" s="1"/>
  <c r="F185" i="3" s="1"/>
  <c r="F149" i="3" s="1"/>
  <c r="F255" i="3"/>
  <c r="F219" i="3" s="1"/>
  <c r="F183" i="3" s="1"/>
  <c r="F147" i="3" s="1"/>
  <c r="G262" i="3"/>
  <c r="G226" i="3" s="1"/>
  <c r="G190" i="3" s="1"/>
  <c r="G154" i="3" s="1"/>
  <c r="G263" i="3"/>
  <c r="G227" i="3" s="1"/>
  <c r="G191" i="3" s="1"/>
  <c r="G155" i="3" s="1"/>
  <c r="G261" i="3"/>
  <c r="G297" i="3" s="1"/>
  <c r="F262" i="3"/>
  <c r="F226" i="3" s="1"/>
  <c r="F190" i="3" s="1"/>
  <c r="F154" i="3" s="1"/>
  <c r="F263" i="3"/>
  <c r="F227" i="3" s="1"/>
  <c r="F191" i="3" s="1"/>
  <c r="F155" i="3" s="1"/>
  <c r="F261" i="3"/>
  <c r="F225" i="3" s="1"/>
  <c r="F189" i="3" s="1"/>
  <c r="F153" i="3" s="1"/>
  <c r="G298" i="3" l="1"/>
  <c r="G225" i="3"/>
  <c r="G189" i="3" s="1"/>
  <c r="G153" i="3" s="1"/>
  <c r="G292" i="3"/>
  <c r="F291" i="3"/>
  <c r="G299" i="3"/>
  <c r="G293" i="3"/>
  <c r="G291" i="3"/>
  <c r="F299" i="3"/>
  <c r="F298" i="3"/>
  <c r="F297" i="3"/>
  <c r="F293" i="3"/>
  <c r="F292" i="3"/>
  <c r="L414" i="1" l="1"/>
  <c r="K414" i="1"/>
  <c r="J414" i="1"/>
  <c r="I414" i="1"/>
  <c r="G414" i="1"/>
  <c r="E414" i="1"/>
  <c r="D414" i="1"/>
  <c r="L413" i="1"/>
  <c r="K413" i="1"/>
  <c r="J413" i="1"/>
  <c r="I413" i="1"/>
  <c r="G413" i="1"/>
  <c r="E413" i="1"/>
  <c r="D413" i="1"/>
  <c r="L412" i="1"/>
  <c r="K412" i="1"/>
  <c r="J412" i="1"/>
  <c r="I412" i="1"/>
  <c r="G412" i="1"/>
  <c r="E412" i="1"/>
  <c r="D412" i="1"/>
  <c r="L8" i="8" l="1"/>
  <c r="E33" i="2"/>
  <c r="E24" i="2"/>
  <c r="E31" i="2"/>
  <c r="E22" i="2"/>
  <c r="F24" i="3" l="1"/>
  <c r="C33" i="3"/>
  <c r="C32" i="3"/>
  <c r="C31" i="3"/>
  <c r="C30" i="3"/>
  <c r="D29" i="3"/>
  <c r="D28" i="3"/>
  <c r="D27" i="3"/>
  <c r="F26" i="3"/>
  <c r="E26" i="3"/>
  <c r="D26" i="3"/>
  <c r="F25" i="3"/>
  <c r="E25" i="3"/>
  <c r="D25" i="3"/>
  <c r="E24" i="3"/>
  <c r="D24" i="3"/>
  <c r="I386" i="3"/>
  <c r="H386" i="3"/>
  <c r="G386" i="3"/>
  <c r="F386" i="3"/>
  <c r="E386" i="3"/>
  <c r="I385" i="3"/>
  <c r="H385" i="3"/>
  <c r="G385" i="3"/>
  <c r="F385" i="3"/>
  <c r="E385" i="3"/>
  <c r="I384" i="3"/>
  <c r="H384" i="3"/>
  <c r="G384" i="3"/>
  <c r="F384" i="3"/>
  <c r="E384" i="3"/>
  <c r="I383" i="3"/>
  <c r="H383" i="3"/>
  <c r="G383" i="3"/>
  <c r="F383" i="3"/>
  <c r="E383" i="3"/>
  <c r="I382" i="3"/>
  <c r="H382" i="3"/>
  <c r="G382" i="3"/>
  <c r="F382" i="3"/>
  <c r="E382" i="3"/>
  <c r="I381" i="3"/>
  <c r="H381" i="3"/>
  <c r="G381" i="3"/>
  <c r="F381" i="3"/>
  <c r="E381" i="3"/>
  <c r="I374" i="3"/>
  <c r="I368" i="3" s="1"/>
  <c r="H374" i="3"/>
  <c r="H368" i="3" s="1"/>
  <c r="G374" i="3"/>
  <c r="G368" i="3" s="1"/>
  <c r="F374" i="3"/>
  <c r="E374" i="3"/>
  <c r="E368" i="3" s="1"/>
  <c r="I373" i="3"/>
  <c r="I367" i="3" s="1"/>
  <c r="H373" i="3"/>
  <c r="H367" i="3" s="1"/>
  <c r="G373" i="3"/>
  <c r="G367" i="3" s="1"/>
  <c r="F373" i="3"/>
  <c r="F367" i="3" s="1"/>
  <c r="E373" i="3"/>
  <c r="E367" i="3" s="1"/>
  <c r="I372" i="3"/>
  <c r="I366" i="3" s="1"/>
  <c r="H372" i="3"/>
  <c r="H366" i="3" s="1"/>
  <c r="G372" i="3"/>
  <c r="G366" i="3" s="1"/>
  <c r="F372" i="3"/>
  <c r="E372" i="3"/>
  <c r="E366" i="3" s="1"/>
  <c r="I371" i="3"/>
  <c r="I365" i="3" s="1"/>
  <c r="H371" i="3"/>
  <c r="H365" i="3" s="1"/>
  <c r="G371" i="3"/>
  <c r="G365" i="3" s="1"/>
  <c r="F371" i="3"/>
  <c r="F365" i="3" s="1"/>
  <c r="E371" i="3"/>
  <c r="E365" i="3" s="1"/>
  <c r="I370" i="3"/>
  <c r="I364" i="3" s="1"/>
  <c r="H370" i="3"/>
  <c r="H364" i="3" s="1"/>
  <c r="G370" i="3"/>
  <c r="G364" i="3" s="1"/>
  <c r="F370" i="3"/>
  <c r="F364" i="3" s="1"/>
  <c r="E370" i="3"/>
  <c r="E364" i="3" s="1"/>
  <c r="I369" i="3"/>
  <c r="I363" i="3" s="1"/>
  <c r="H369" i="3"/>
  <c r="H363" i="3" s="1"/>
  <c r="G369" i="3"/>
  <c r="G363" i="3" s="1"/>
  <c r="F369" i="3"/>
  <c r="F363" i="3" s="1"/>
  <c r="E369" i="3"/>
  <c r="F368" i="3"/>
  <c r="F366" i="3"/>
  <c r="E363" i="3"/>
  <c r="F40" i="8" l="1"/>
  <c r="F20" i="8"/>
  <c r="F30" i="8" l="1"/>
  <c r="G30" i="8"/>
  <c r="H30" i="8"/>
  <c r="F24" i="8"/>
  <c r="C14" i="8" s="1"/>
  <c r="F28" i="8"/>
  <c r="F25" i="8"/>
  <c r="F36" i="8"/>
  <c r="F33" i="8"/>
  <c r="F39" i="8"/>
  <c r="G24" i="8"/>
  <c r="H24" i="8"/>
  <c r="G28" i="8"/>
  <c r="H28" i="8"/>
  <c r="G25" i="8"/>
  <c r="H25" i="8"/>
  <c r="G36" i="8"/>
  <c r="H36" i="8"/>
  <c r="G33" i="8"/>
  <c r="H33" i="8"/>
  <c r="G39" i="8"/>
  <c r="H39" i="8"/>
  <c r="H42" i="2" l="1"/>
  <c r="H43" i="2"/>
  <c r="H44" i="2"/>
  <c r="H45" i="2"/>
  <c r="H48" i="2"/>
  <c r="H51" i="2"/>
  <c r="H52" i="2"/>
  <c r="H53" i="2"/>
  <c r="H54" i="2"/>
  <c r="H55" i="2"/>
  <c r="H56" i="2"/>
  <c r="H17" i="2" s="1"/>
  <c r="H57" i="2"/>
  <c r="H58" i="2"/>
  <c r="H59" i="2"/>
  <c r="H60" i="2"/>
  <c r="H61" i="2"/>
  <c r="H62" i="2"/>
  <c r="H63" i="2"/>
  <c r="H64" i="2"/>
  <c r="H65" i="2"/>
  <c r="H66" i="2"/>
  <c r="H70" i="2"/>
  <c r="H71" i="2"/>
  <c r="H73" i="2"/>
  <c r="H74" i="2"/>
  <c r="H75" i="2"/>
  <c r="I42" i="2"/>
  <c r="I43" i="2"/>
  <c r="I44" i="2"/>
  <c r="I45" i="2"/>
  <c r="I48" i="2"/>
  <c r="I51" i="2"/>
  <c r="I52" i="2"/>
  <c r="I53" i="2"/>
  <c r="I54" i="2"/>
  <c r="I55" i="2"/>
  <c r="I56" i="2"/>
  <c r="I17" i="2" s="1"/>
  <c r="I57" i="2"/>
  <c r="I58" i="2"/>
  <c r="I59" i="2"/>
  <c r="I60" i="2"/>
  <c r="I61" i="2"/>
  <c r="I62" i="2"/>
  <c r="I63" i="2"/>
  <c r="I64" i="2"/>
  <c r="I65" i="2"/>
  <c r="I66" i="2"/>
  <c r="I70" i="2"/>
  <c r="I71" i="2"/>
  <c r="I73" i="2"/>
  <c r="I74" i="2"/>
  <c r="I75" i="2"/>
  <c r="E38" i="2" l="1"/>
  <c r="E37" i="2"/>
  <c r="E36" i="2"/>
  <c r="E35" i="2"/>
  <c r="E34" i="2"/>
  <c r="E32" i="2"/>
  <c r="E29" i="2"/>
  <c r="E28" i="2"/>
  <c r="E27" i="2"/>
  <c r="E26" i="2"/>
  <c r="E25" i="2"/>
  <c r="E23" i="2"/>
  <c r="B12" i="3"/>
  <c r="T4" i="21" l="1"/>
  <c r="U14" i="23" l="1"/>
  <c r="X34" i="23" l="1"/>
  <c r="O27" i="24"/>
  <c r="N27" i="24"/>
  <c r="J27" i="24"/>
  <c r="H27" i="24"/>
  <c r="O25" i="24"/>
  <c r="N25" i="24"/>
  <c r="J25" i="24"/>
  <c r="H25" i="24"/>
  <c r="O23" i="24"/>
  <c r="N23" i="24"/>
  <c r="J23" i="24"/>
  <c r="H23" i="24"/>
  <c r="O21" i="24"/>
  <c r="N21" i="24"/>
  <c r="J21" i="24"/>
  <c r="H21" i="24"/>
  <c r="O19" i="24"/>
  <c r="N19" i="24"/>
  <c r="J19" i="24"/>
  <c r="H19" i="24"/>
  <c r="O17" i="24"/>
  <c r="J17" i="24"/>
  <c r="N17" i="24" s="1"/>
  <c r="H17" i="24"/>
  <c r="O15" i="24"/>
  <c r="J15" i="24"/>
  <c r="N15" i="24" s="1"/>
  <c r="H15" i="24"/>
  <c r="T13" i="24"/>
  <c r="O13" i="24"/>
  <c r="J13" i="24"/>
  <c r="N13" i="24" s="1"/>
  <c r="H13" i="24"/>
  <c r="O11" i="24"/>
  <c r="J11" i="24"/>
  <c r="N11" i="24" s="1"/>
  <c r="H11" i="24"/>
  <c r="O9" i="24"/>
  <c r="J9" i="24"/>
  <c r="N9" i="24" s="1"/>
  <c r="H9" i="24"/>
  <c r="U32" i="23"/>
  <c r="X32" i="23" s="1"/>
  <c r="U30" i="23"/>
  <c r="X30" i="23" s="1"/>
  <c r="X28" i="23"/>
  <c r="U28" i="23"/>
  <c r="X26" i="23"/>
  <c r="U26" i="23"/>
  <c r="U24" i="23"/>
  <c r="X24" i="23" s="1"/>
  <c r="X22" i="23"/>
  <c r="U22" i="23"/>
  <c r="X18" i="23"/>
  <c r="U16" i="23"/>
  <c r="X14" i="23"/>
  <c r="X12" i="23"/>
  <c r="U12" i="23"/>
  <c r="X10" i="23"/>
  <c r="U10" i="23"/>
  <c r="U8" i="24" l="1"/>
  <c r="X16" i="23"/>
  <c r="U10" i="24"/>
  <c r="W8" i="24" l="1"/>
  <c r="U15" i="24"/>
  <c r="U23" i="24" s="1"/>
  <c r="W10" i="24"/>
  <c r="R20" i="24" l="1"/>
  <c r="W15" i="24"/>
  <c r="U18" i="24"/>
  <c r="R3" i="21"/>
  <c r="R4" i="21"/>
  <c r="R5" i="21"/>
  <c r="R6" i="21"/>
  <c r="R7" i="21"/>
  <c r="R8" i="21"/>
  <c r="R9" i="21"/>
  <c r="R2" i="21"/>
  <c r="T3" i="21"/>
  <c r="T5" i="21"/>
  <c r="T6" i="21"/>
  <c r="T7" i="21"/>
  <c r="T8" i="21"/>
  <c r="T9" i="21"/>
  <c r="T10" i="21"/>
  <c r="T11" i="21"/>
  <c r="T2" i="21"/>
  <c r="J46" i="1"/>
  <c r="J62" i="1"/>
  <c r="J61" i="1"/>
  <c r="J60" i="1"/>
  <c r="J59" i="1"/>
  <c r="J58" i="1"/>
  <c r="J57" i="1"/>
  <c r="J45" i="1"/>
  <c r="J44" i="1"/>
  <c r="J43" i="1"/>
  <c r="J42" i="1"/>
  <c r="J41" i="1"/>
  <c r="J40" i="1"/>
  <c r="E64" i="1"/>
  <c r="E63" i="1"/>
  <c r="E62" i="1"/>
  <c r="E61" i="1"/>
  <c r="E60" i="1"/>
  <c r="E59" i="1"/>
  <c r="C72" i="1"/>
  <c r="C71" i="1"/>
  <c r="C70" i="1"/>
  <c r="C69" i="1"/>
  <c r="C68" i="1"/>
  <c r="E47" i="1"/>
  <c r="E46" i="1"/>
  <c r="E45" i="1"/>
  <c r="E44" i="1"/>
  <c r="E43" i="1"/>
  <c r="E42" i="1"/>
  <c r="C55" i="1"/>
  <c r="C54" i="1"/>
  <c r="C53" i="1"/>
  <c r="C52" i="1"/>
  <c r="C51" i="1"/>
  <c r="U26" i="24" l="1"/>
  <c r="W23" i="24"/>
  <c r="B16" i="3"/>
  <c r="B14" i="3"/>
  <c r="Y12" i="18" l="1"/>
  <c r="Z12" i="18"/>
  <c r="AA12" i="18"/>
  <c r="AB12" i="18"/>
  <c r="AB10" i="18"/>
  <c r="AA10" i="18"/>
  <c r="Z10" i="18"/>
  <c r="Y10" i="18"/>
  <c r="U21" i="18"/>
  <c r="U24" i="18" s="1"/>
  <c r="Z14" i="18"/>
  <c r="AB20" i="18"/>
  <c r="AA20" i="18"/>
  <c r="Z20" i="18"/>
  <c r="Y20" i="18"/>
  <c r="AB18" i="18"/>
  <c r="AA18" i="18"/>
  <c r="Z18" i="18"/>
  <c r="Y18" i="18"/>
  <c r="AB16" i="18"/>
  <c r="AA16" i="18"/>
  <c r="Z16" i="18"/>
  <c r="Y16" i="18"/>
  <c r="AA14" i="18"/>
  <c r="Y14" i="18"/>
  <c r="X20" i="18"/>
  <c r="X16" i="18"/>
  <c r="X14" i="18"/>
  <c r="Z21" i="18" l="1"/>
  <c r="X12" i="18"/>
  <c r="X10" i="18"/>
  <c r="AB14" i="18"/>
  <c r="X18" i="18"/>
  <c r="AA21" i="18" l="1"/>
  <c r="Y21" i="18"/>
  <c r="AB21" i="18"/>
  <c r="X21" i="18"/>
  <c r="C10" i="3"/>
  <c r="E11" i="3" l="1"/>
  <c r="J7" i="12" s="1"/>
  <c r="C15" i="19"/>
  <c r="M17" i="15"/>
  <c r="C16" i="15"/>
  <c r="B16" i="15"/>
  <c r="I16" i="15"/>
  <c r="H16" i="15"/>
  <c r="G16" i="15"/>
  <c r="F16" i="15"/>
  <c r="E16" i="15"/>
  <c r="Q35" i="18"/>
  <c r="Q34" i="18"/>
  <c r="J31" i="19"/>
  <c r="L23" i="19"/>
  <c r="I23" i="19"/>
  <c r="C13" i="19" s="1"/>
  <c r="E9" i="1"/>
  <c r="M38" i="18"/>
  <c r="F16" i="3" l="1"/>
  <c r="I16" i="3"/>
  <c r="E16" i="3"/>
  <c r="H16" i="3"/>
  <c r="U7" i="8" s="1"/>
  <c r="G16" i="3"/>
  <c r="L15" i="1"/>
  <c r="I15" i="1"/>
  <c r="G15" i="1"/>
  <c r="E15" i="1"/>
  <c r="J15" i="1"/>
  <c r="H15" i="1"/>
  <c r="F15" i="1"/>
  <c r="C15" i="12"/>
  <c r="N23" i="19"/>
  <c r="C16" i="19" s="1"/>
  <c r="J33" i="19" s="1"/>
  <c r="K20" i="18"/>
  <c r="J32" i="19"/>
  <c r="C14" i="19"/>
  <c r="E8" i="18"/>
  <c r="L232" i="1"/>
  <c r="K15" i="1" s="1"/>
  <c r="K232" i="1"/>
  <c r="J232" i="1"/>
  <c r="I232" i="1"/>
  <c r="G232" i="1"/>
  <c r="E232" i="1"/>
  <c r="D232" i="1"/>
  <c r="L231" i="1"/>
  <c r="K231" i="1"/>
  <c r="J231" i="1"/>
  <c r="I231" i="1"/>
  <c r="G231" i="1"/>
  <c r="E231" i="1"/>
  <c r="D231" i="1"/>
  <c r="L230" i="1"/>
  <c r="K230" i="1"/>
  <c r="J230" i="1"/>
  <c r="I230" i="1"/>
  <c r="G230" i="1"/>
  <c r="E230" i="1"/>
  <c r="D230" i="1"/>
  <c r="M9" i="15"/>
  <c r="M15" i="15"/>
  <c r="M13" i="15"/>
  <c r="M11" i="15"/>
  <c r="B18" i="15"/>
  <c r="C18" i="15"/>
  <c r="B8" i="15"/>
  <c r="B10" i="15"/>
  <c r="C8" i="15"/>
  <c r="C10" i="15"/>
  <c r="C14" i="15"/>
  <c r="B14" i="15"/>
  <c r="C12" i="15"/>
  <c r="B12" i="15"/>
  <c r="L5" i="15"/>
  <c r="M5" i="15"/>
  <c r="B6" i="15"/>
  <c r="C6" i="15"/>
  <c r="D6" i="15"/>
  <c r="D7" i="15"/>
  <c r="E7" i="15"/>
  <c r="F7" i="15"/>
  <c r="G7" i="15"/>
  <c r="H7" i="15"/>
  <c r="I7" i="15"/>
  <c r="M19" i="15"/>
  <c r="M21" i="15"/>
  <c r="C22" i="15"/>
  <c r="L22" i="15"/>
  <c r="E28" i="15"/>
  <c r="F28" i="15"/>
  <c r="G28" i="15"/>
  <c r="H28" i="15"/>
  <c r="I28" i="15"/>
  <c r="E29" i="15"/>
  <c r="F29" i="15"/>
  <c r="G29" i="15"/>
  <c r="H29" i="15"/>
  <c r="I29" i="15"/>
  <c r="E48" i="15"/>
  <c r="F48" i="15"/>
  <c r="G48" i="15"/>
  <c r="H48" i="15"/>
  <c r="I48" i="15"/>
  <c r="E62" i="15"/>
  <c r="F62" i="15"/>
  <c r="G62" i="15"/>
  <c r="H62" i="15"/>
  <c r="I62" i="15"/>
  <c r="I14" i="15"/>
  <c r="H14" i="15"/>
  <c r="G14" i="15"/>
  <c r="F14" i="15"/>
  <c r="I12" i="15"/>
  <c r="H12" i="15"/>
  <c r="G12" i="15"/>
  <c r="F12" i="15"/>
  <c r="I10" i="15"/>
  <c r="H10" i="15"/>
  <c r="G10" i="15"/>
  <c r="F10" i="15"/>
  <c r="I8" i="15"/>
  <c r="H8" i="15"/>
  <c r="G8" i="15"/>
  <c r="F8" i="15"/>
  <c r="E18" i="15"/>
  <c r="F18" i="15"/>
  <c r="G18" i="15"/>
  <c r="H18" i="15"/>
  <c r="I18" i="15"/>
  <c r="C28" i="12"/>
  <c r="F27" i="7"/>
  <c r="B23" i="7"/>
  <c r="C23" i="7" s="1"/>
  <c r="B21" i="7"/>
  <c r="C21" i="7" s="1"/>
  <c r="C30" i="12"/>
  <c r="C26" i="12"/>
  <c r="G26" i="12"/>
  <c r="H26" i="12" s="1"/>
  <c r="M26" i="12" s="1"/>
  <c r="G28" i="12"/>
  <c r="G30" i="12"/>
  <c r="C56" i="1"/>
  <c r="F26" i="5"/>
  <c r="B22" i="5"/>
  <c r="U21" i="5" s="1"/>
  <c r="B20" i="5"/>
  <c r="U20" i="5" s="1"/>
  <c r="E8" i="4"/>
  <c r="H8" i="4"/>
  <c r="F22" i="8"/>
  <c r="F23" i="8"/>
  <c r="F26" i="8"/>
  <c r="F27" i="8"/>
  <c r="F29" i="8"/>
  <c r="F31" i="8"/>
  <c r="F32" i="8"/>
  <c r="F34" i="8"/>
  <c r="F35" i="8"/>
  <c r="F37" i="8"/>
  <c r="F38" i="8"/>
  <c r="F21" i="8"/>
  <c r="E14" i="15"/>
  <c r="E12" i="15"/>
  <c r="E10" i="15"/>
  <c r="E8" i="15"/>
  <c r="H21" i="8"/>
  <c r="H22" i="8"/>
  <c r="H23" i="8"/>
  <c r="H26" i="8"/>
  <c r="H27" i="8"/>
  <c r="H29" i="8"/>
  <c r="H31" i="8"/>
  <c r="H32" i="8"/>
  <c r="H34" i="8"/>
  <c r="H35" i="8"/>
  <c r="H37" i="8"/>
  <c r="H38" i="8"/>
  <c r="H40" i="8"/>
  <c r="H20" i="8"/>
  <c r="I14" i="8" s="1"/>
  <c r="T14" i="8" s="1"/>
  <c r="G21" i="8"/>
  <c r="G22" i="8"/>
  <c r="G23" i="8"/>
  <c r="G26" i="8"/>
  <c r="G27" i="8"/>
  <c r="G29" i="8"/>
  <c r="G31" i="8"/>
  <c r="G32" i="8"/>
  <c r="G34" i="8"/>
  <c r="G35" i="8"/>
  <c r="G37" i="8"/>
  <c r="G38" i="8"/>
  <c r="G40" i="8"/>
  <c r="G14" i="8"/>
  <c r="E65" i="1"/>
  <c r="J63" i="1"/>
  <c r="E23" i="1"/>
  <c r="B23" i="9"/>
  <c r="O23" i="9" s="1"/>
  <c r="E17" i="3" l="1"/>
  <c r="G17" i="3"/>
  <c r="V7" i="8"/>
  <c r="I17" i="3"/>
  <c r="T8" i="3"/>
  <c r="U7" i="3" s="1"/>
  <c r="U6" i="3" s="1"/>
  <c r="L13" i="3"/>
  <c r="K15" i="19"/>
  <c r="T13" i="8"/>
  <c r="J26" i="5"/>
  <c r="J27" i="5" s="1"/>
  <c r="U7" i="1"/>
  <c r="R8" i="3"/>
  <c r="S7" i="3" s="1"/>
  <c r="S6" i="3" s="1"/>
  <c r="Q23" i="1"/>
  <c r="C12" i="19"/>
  <c r="H28" i="12"/>
  <c r="M28" i="12" s="1"/>
  <c r="H30" i="12"/>
  <c r="M30" i="12" s="1"/>
  <c r="L29" i="1"/>
  <c r="I29" i="1"/>
  <c r="G29" i="1"/>
  <c r="Q27" i="1" s="1"/>
  <c r="E29" i="1"/>
  <c r="J29" i="1"/>
  <c r="H29" i="1"/>
  <c r="F29" i="1"/>
  <c r="K12" i="19"/>
  <c r="M14" i="19" s="1"/>
  <c r="H32" i="19"/>
  <c r="M27" i="19"/>
  <c r="I26" i="5"/>
  <c r="I27" i="5" s="1"/>
  <c r="C18" i="12"/>
  <c r="K18" i="12" s="1"/>
  <c r="M22" i="15"/>
  <c r="E17" i="9"/>
  <c r="L18" i="9" s="1"/>
  <c r="H13" i="7"/>
  <c r="I27" i="7"/>
  <c r="I28" i="7" s="1"/>
  <c r="C22" i="5"/>
  <c r="C20" i="5"/>
  <c r="G27" i="7"/>
  <c r="G13" i="7"/>
  <c r="P9" i="18"/>
  <c r="C19" i="18" s="1"/>
  <c r="G14" i="18"/>
  <c r="Q13" i="18"/>
  <c r="E14" i="18"/>
  <c r="H14" i="18"/>
  <c r="F14" i="18"/>
  <c r="B24" i="5"/>
  <c r="D13" i="7"/>
  <c r="I13" i="7"/>
  <c r="J12" i="5"/>
  <c r="F13" i="7"/>
  <c r="C14" i="5"/>
  <c r="C12" i="5"/>
  <c r="H12" i="5"/>
  <c r="C13" i="7"/>
  <c r="B22" i="15"/>
  <c r="E19" i="9"/>
  <c r="L20" i="9" s="1"/>
  <c r="E9" i="9"/>
  <c r="L10" i="9" s="1"/>
  <c r="E15" i="9"/>
  <c r="L16" i="9" s="1"/>
  <c r="E13" i="9"/>
  <c r="L14" i="9" s="1"/>
  <c r="E11" i="9"/>
  <c r="L12" i="9" s="1"/>
  <c r="J27" i="7"/>
  <c r="J28" i="7" s="1"/>
  <c r="G26" i="5"/>
  <c r="B25" i="7"/>
  <c r="C15" i="7"/>
  <c r="E13" i="7"/>
  <c r="E12" i="5"/>
  <c r="B8" i="5"/>
  <c r="B9" i="7"/>
  <c r="T6" i="3" l="1"/>
  <c r="M20" i="9"/>
  <c r="K19" i="15" s="1"/>
  <c r="J19" i="15"/>
  <c r="G20" i="9"/>
  <c r="M18" i="9"/>
  <c r="K17" i="15" s="1"/>
  <c r="J17" i="15"/>
  <c r="M14" i="9"/>
  <c r="K13" i="15" s="1"/>
  <c r="G14" i="9"/>
  <c r="J13" i="15"/>
  <c r="G18" i="9"/>
  <c r="J11" i="15"/>
  <c r="G12" i="9"/>
  <c r="M12" i="9"/>
  <c r="K11" i="15" s="1"/>
  <c r="J15" i="15"/>
  <c r="M16" i="9"/>
  <c r="K15" i="15" s="1"/>
  <c r="G16" i="9"/>
  <c r="I20" i="9"/>
  <c r="G19" i="15" s="1"/>
  <c r="K20" i="9"/>
  <c r="I19" i="15" s="1"/>
  <c r="H20" i="9"/>
  <c r="F19" i="15" s="1"/>
  <c r="J20" i="9"/>
  <c r="H19" i="15" s="1"/>
  <c r="K10" i="9"/>
  <c r="I9" i="15" s="1"/>
  <c r="M10" i="9"/>
  <c r="K9" i="15" s="1"/>
  <c r="J9" i="15"/>
  <c r="G10" i="9"/>
  <c r="H18" i="9"/>
  <c r="F17" i="15" s="1"/>
  <c r="J18" i="9"/>
  <c r="H17" i="15" s="1"/>
  <c r="I18" i="9"/>
  <c r="G17" i="15" s="1"/>
  <c r="K18" i="9"/>
  <c r="I17" i="15" s="1"/>
  <c r="F12" i="9"/>
  <c r="E11" i="15" s="1"/>
  <c r="H12" i="9"/>
  <c r="F11" i="15" s="1"/>
  <c r="R6" i="3"/>
  <c r="O25" i="1"/>
  <c r="O28" i="1"/>
  <c r="U8" i="1"/>
  <c r="H33" i="19"/>
  <c r="H34" i="19" s="1"/>
  <c r="M32" i="12"/>
  <c r="P10" i="12" s="1"/>
  <c r="J9" i="7"/>
  <c r="B41" i="1"/>
  <c r="D14" i="5"/>
  <c r="J13" i="7"/>
  <c r="W27" i="18"/>
  <c r="X24" i="18"/>
  <c r="I8" i="5"/>
  <c r="D16" i="15"/>
  <c r="F18" i="9"/>
  <c r="E17" i="15" s="1"/>
  <c r="D12" i="15"/>
  <c r="D14" i="15"/>
  <c r="D18" i="15"/>
  <c r="D10" i="15"/>
  <c r="D8" i="15"/>
  <c r="F9" i="7"/>
  <c r="G9" i="7"/>
  <c r="J8" i="5"/>
  <c r="I12" i="5"/>
  <c r="G12" i="5"/>
  <c r="Q9" i="18"/>
  <c r="P13" i="18"/>
  <c r="H27" i="18" s="1"/>
  <c r="H8" i="5"/>
  <c r="E15" i="7"/>
  <c r="H14" i="5"/>
  <c r="D12" i="5"/>
  <c r="F12" i="5"/>
  <c r="J15" i="7"/>
  <c r="I14" i="5"/>
  <c r="F14" i="5"/>
  <c r="J14" i="5"/>
  <c r="G14" i="5"/>
  <c r="E14" i="5"/>
  <c r="F20" i="9"/>
  <c r="H16" i="9"/>
  <c r="F15" i="15" s="1"/>
  <c r="J16" i="9"/>
  <c r="H15" i="15" s="1"/>
  <c r="F16" i="9"/>
  <c r="E15" i="15" s="1"/>
  <c r="I16" i="9"/>
  <c r="G15" i="15" s="1"/>
  <c r="K16" i="9"/>
  <c r="I15" i="15" s="1"/>
  <c r="H14" i="9"/>
  <c r="F13" i="15" s="1"/>
  <c r="K14" i="9"/>
  <c r="I13" i="15" s="1"/>
  <c r="J14" i="9"/>
  <c r="H13" i="15" s="1"/>
  <c r="I14" i="9"/>
  <c r="G13" i="15" s="1"/>
  <c r="F14" i="9"/>
  <c r="E13" i="15" s="1"/>
  <c r="I12" i="9"/>
  <c r="G11" i="15" s="1"/>
  <c r="K12" i="9"/>
  <c r="I11" i="15" s="1"/>
  <c r="J12" i="9"/>
  <c r="H11" i="15" s="1"/>
  <c r="J10" i="9"/>
  <c r="F10" i="9"/>
  <c r="H10" i="9"/>
  <c r="I10" i="9"/>
  <c r="E23" i="9"/>
  <c r="D22" i="15" s="1"/>
  <c r="G15" i="7"/>
  <c r="H15" i="7"/>
  <c r="D15" i="7"/>
  <c r="I15" i="7"/>
  <c r="F15" i="7"/>
  <c r="E8" i="5"/>
  <c r="F8" i="5"/>
  <c r="G8" i="5"/>
  <c r="I9" i="7"/>
  <c r="H9" i="7"/>
  <c r="E9" i="7"/>
  <c r="G23" i="9" l="1"/>
  <c r="M23" i="9"/>
  <c r="K22" i="15" s="1"/>
  <c r="L23" i="9"/>
  <c r="J22" i="15" s="1"/>
  <c r="U9" i="1"/>
  <c r="K15" i="12"/>
  <c r="Q18" i="12" s="1"/>
  <c r="K23" i="9"/>
  <c r="H24" i="18"/>
  <c r="L26" i="18" s="1"/>
  <c r="E19" i="15"/>
  <c r="F9" i="15"/>
  <c r="H23" i="9"/>
  <c r="H9" i="15"/>
  <c r="J23" i="9"/>
  <c r="H10" i="2" s="1"/>
  <c r="G9" i="15"/>
  <c r="I23" i="9"/>
  <c r="G10" i="2" s="1"/>
  <c r="E9" i="15"/>
  <c r="F23" i="9"/>
  <c r="E10" i="2" s="1"/>
  <c r="D19" i="18"/>
  <c r="F19" i="18"/>
  <c r="AA24" i="18" s="1"/>
  <c r="G19" i="18"/>
  <c r="AB24" i="18" s="1"/>
  <c r="F21" i="9" l="1"/>
  <c r="I10" i="2"/>
  <c r="J21" i="9"/>
  <c r="F10" i="2"/>
  <c r="Q28" i="12"/>
  <c r="Q30" i="12"/>
  <c r="Q15" i="12"/>
  <c r="E37" i="12" s="1"/>
  <c r="Q26" i="12"/>
  <c r="U12" i="1"/>
  <c r="N26" i="18"/>
  <c r="P26" i="18"/>
  <c r="Z24" i="18"/>
  <c r="Y24" i="18"/>
  <c r="Y27" i="18" s="1"/>
  <c r="J24" i="18"/>
  <c r="H19" i="18"/>
  <c r="F22" i="15"/>
  <c r="G22" i="15"/>
  <c r="H22" i="15"/>
  <c r="E22" i="15"/>
  <c r="I22" i="15"/>
  <c r="M12" i="19"/>
  <c r="L14" i="19"/>
  <c r="B12" i="5"/>
  <c r="U18" i="5" s="1"/>
  <c r="B13" i="7"/>
  <c r="D14" i="7" s="1"/>
  <c r="B14" i="5"/>
  <c r="U19" i="5" s="1"/>
  <c r="Q23" i="12" l="1"/>
  <c r="Q32" i="12"/>
  <c r="T9" i="2"/>
  <c r="S9" i="2"/>
  <c r="V12" i="1"/>
  <c r="T9" i="1"/>
  <c r="O11" i="1" s="1"/>
  <c r="T10" i="2"/>
  <c r="S10" i="2"/>
  <c r="E14" i="4"/>
  <c r="E12" i="4"/>
  <c r="V18" i="5"/>
  <c r="O17" i="5" s="1"/>
  <c r="V19" i="5"/>
  <c r="O19" i="5" s="1"/>
  <c r="D15" i="5"/>
  <c r="J15" i="5" s="1"/>
  <c r="D13" i="5"/>
  <c r="G13" i="5" s="1"/>
  <c r="Y18" i="5" s="1"/>
  <c r="I23" i="7"/>
  <c r="I24" i="7" s="1"/>
  <c r="I22" i="5"/>
  <c r="I23" i="5" s="1"/>
  <c r="H23" i="7"/>
  <c r="H24" i="7" s="1"/>
  <c r="H22" i="5"/>
  <c r="H23" i="5" s="1"/>
  <c r="J23" i="7"/>
  <c r="J24" i="7" s="1"/>
  <c r="J22" i="5"/>
  <c r="J23" i="5" s="1"/>
  <c r="H14" i="4"/>
  <c r="G23" i="7"/>
  <c r="G24" i="7" s="1"/>
  <c r="G22" i="5"/>
  <c r="G23" i="5" s="1"/>
  <c r="Y21" i="5" s="1"/>
  <c r="H12" i="4"/>
  <c r="F23" i="7"/>
  <c r="F24" i="7" s="1"/>
  <c r="F22" i="5"/>
  <c r="F23" i="5" s="1"/>
  <c r="W21" i="5" s="1"/>
  <c r="J21" i="7"/>
  <c r="J22" i="7" s="1"/>
  <c r="J20" i="5"/>
  <c r="J21" i="5" s="1"/>
  <c r="G21" i="7"/>
  <c r="G22" i="7" s="1"/>
  <c r="G20" i="5"/>
  <c r="G21" i="5" s="1"/>
  <c r="Y20" i="5" s="1"/>
  <c r="F21" i="7"/>
  <c r="F22" i="7" s="1"/>
  <c r="F20" i="5"/>
  <c r="F21" i="5" s="1"/>
  <c r="I21" i="7"/>
  <c r="I22" i="7" s="1"/>
  <c r="I20" i="5"/>
  <c r="I21" i="5" s="1"/>
  <c r="H21" i="7"/>
  <c r="H22" i="7" s="1"/>
  <c r="H20" i="5"/>
  <c r="H21" i="5" s="1"/>
  <c r="H14" i="7"/>
  <c r="F14" i="7"/>
  <c r="E14" i="7"/>
  <c r="G14" i="7"/>
  <c r="I14" i="7"/>
  <c r="J14" i="7"/>
  <c r="B15" i="7"/>
  <c r="D16" i="7" s="1"/>
  <c r="B16" i="5"/>
  <c r="H24" i="5" l="1"/>
  <c r="J25" i="7"/>
  <c r="J24" i="5"/>
  <c r="H25" i="7"/>
  <c r="I24" i="5"/>
  <c r="F25" i="7"/>
  <c r="Q10" i="1"/>
  <c r="V8" i="1"/>
  <c r="V9" i="1"/>
  <c r="I25" i="7"/>
  <c r="J13" i="5"/>
  <c r="J16" i="5" s="1"/>
  <c r="G15" i="5"/>
  <c r="G16" i="5" s="1"/>
  <c r="G18" i="5" s="1"/>
  <c r="F15" i="5"/>
  <c r="W19" i="5" s="1"/>
  <c r="E15" i="5"/>
  <c r="I15" i="5"/>
  <c r="H15" i="5"/>
  <c r="Y19" i="5" s="1"/>
  <c r="Z19" i="5" s="1"/>
  <c r="F24" i="5"/>
  <c r="W20" i="5"/>
  <c r="I13" i="5"/>
  <c r="E13" i="5"/>
  <c r="F13" i="5"/>
  <c r="W18" i="5" s="1"/>
  <c r="H13" i="5"/>
  <c r="G25" i="7"/>
  <c r="G24" i="5"/>
  <c r="B17" i="7"/>
  <c r="B30" i="7" s="1"/>
  <c r="B29" i="5"/>
  <c r="D16" i="5"/>
  <c r="D29" i="5" s="1"/>
  <c r="E16" i="7"/>
  <c r="J16" i="7"/>
  <c r="H16" i="7"/>
  <c r="F16" i="7"/>
  <c r="G16" i="7"/>
  <c r="I16" i="7"/>
  <c r="L14" i="8" l="1"/>
  <c r="I16" i="5"/>
  <c r="L12" i="8" s="1"/>
  <c r="F16" i="5"/>
  <c r="F18" i="5" s="1"/>
  <c r="F29" i="5" s="1"/>
  <c r="M13" i="5" s="1"/>
  <c r="V7" i="1"/>
  <c r="O7" i="1" s="1"/>
  <c r="V8" i="8"/>
  <c r="E16" i="5"/>
  <c r="E18" i="5" s="1"/>
  <c r="H16" i="5"/>
  <c r="H18" i="5" s="1"/>
  <c r="H29" i="5" s="1"/>
  <c r="P13" i="5" s="1"/>
  <c r="Z18" i="5"/>
  <c r="X19" i="5"/>
  <c r="X18" i="5"/>
  <c r="I17" i="7"/>
  <c r="I19" i="7" s="1"/>
  <c r="I30" i="7" s="1"/>
  <c r="I32" i="7" s="1"/>
  <c r="F17" i="7"/>
  <c r="F19" i="7" s="1"/>
  <c r="F30" i="7" s="1"/>
  <c r="F32" i="7" s="1"/>
  <c r="J17" i="7"/>
  <c r="J19" i="7" s="1"/>
  <c r="J30" i="7" s="1"/>
  <c r="J32" i="7" s="1"/>
  <c r="G17" i="7"/>
  <c r="G19" i="7" s="1"/>
  <c r="G30" i="7" s="1"/>
  <c r="G32" i="7" s="1"/>
  <c r="H17" i="7"/>
  <c r="H19" i="7" s="1"/>
  <c r="H30" i="7" s="1"/>
  <c r="H32" i="7" s="1"/>
  <c r="E17" i="7"/>
  <c r="E30" i="7" s="1"/>
  <c r="E32" i="7" s="1"/>
  <c r="E33" i="7" s="1"/>
  <c r="D17" i="7"/>
  <c r="D30" i="7" s="1"/>
  <c r="I18" i="5"/>
  <c r="I29" i="5" s="1"/>
  <c r="Q13" i="5" s="1"/>
  <c r="J18" i="5"/>
  <c r="J29" i="5" s="1"/>
  <c r="R13" i="5" s="1"/>
  <c r="G29" i="5"/>
  <c r="N13" i="5" s="1"/>
  <c r="C14" i="4"/>
  <c r="L24" i="8" l="1"/>
  <c r="G8" i="8" s="1"/>
  <c r="U8" i="8"/>
  <c r="U13" i="8" s="1"/>
  <c r="W13" i="8" s="1"/>
  <c r="P16" i="8" s="1"/>
  <c r="C12" i="4"/>
  <c r="H20" i="4" s="1"/>
  <c r="E22" i="4" s="1"/>
  <c r="U14" i="8"/>
  <c r="X13" i="8" s="1"/>
  <c r="R16" i="8" s="1"/>
  <c r="V10" i="8"/>
  <c r="R11" i="8" s="1"/>
  <c r="E29" i="5"/>
  <c r="E31" i="5" s="1"/>
  <c r="E32" i="5" s="1"/>
  <c r="G31" i="5"/>
  <c r="U7" i="5"/>
  <c r="F31" i="5"/>
  <c r="T7" i="5"/>
  <c r="I31" i="5"/>
  <c r="W7" i="5"/>
  <c r="H31" i="5"/>
  <c r="V7" i="5"/>
  <c r="J31" i="5"/>
  <c r="X7" i="5"/>
  <c r="E19" i="7"/>
  <c r="D27" i="7"/>
  <c r="H22" i="4"/>
  <c r="E42" i="8"/>
  <c r="D26" i="5"/>
  <c r="U10" i="8" l="1"/>
  <c r="P11" i="8" s="1"/>
  <c r="G42" i="8"/>
  <c r="E14" i="8" s="1"/>
  <c r="C16" i="8" s="1"/>
  <c r="E20" i="4"/>
  <c r="E24" i="4"/>
  <c r="E9" i="4" s="1"/>
  <c r="H24" i="4"/>
  <c r="H9" i="4" s="1"/>
  <c r="H11" i="4" l="1"/>
  <c r="E11" i="4"/>
  <c r="B8" i="4"/>
  <c r="B16" i="4"/>
  <c r="R11" i="21"/>
  <c r="R10" i="21"/>
</calcChain>
</file>

<file path=xl/comments1.xml><?xml version="1.0" encoding="utf-8"?>
<comments xmlns="http://schemas.openxmlformats.org/spreadsheetml/2006/main">
  <authors>
    <author>FABRICE</author>
  </authors>
  <commentList>
    <comment ref="G2" authorId="0" shapeId="0">
      <text>
        <r>
          <rPr>
            <b/>
            <sz val="20"/>
            <color indexed="10"/>
            <rFont val="Calibri"/>
            <family val="2"/>
            <scheme val="minor"/>
          </rPr>
          <t>N'OUBLIEZ PAS DE SAISIR UN NOM AVANT DE SAUVEGARDER</t>
        </r>
      </text>
    </comment>
  </commentList>
</comments>
</file>

<file path=xl/comments2.xml><?xml version="1.0" encoding="utf-8"?>
<comments xmlns="http://schemas.openxmlformats.org/spreadsheetml/2006/main">
  <authors>
    <author>FABRICE</author>
  </authors>
  <commentList>
    <comment ref="G3" authorId="0" shapeId="0">
      <text>
        <r>
          <rPr>
            <b/>
            <sz val="14"/>
            <color indexed="10"/>
            <rFont val="Calibri"/>
            <family val="2"/>
            <scheme val="minor"/>
          </rPr>
          <t>N'OUBLIEZ PAS DE SAISIR UN NOM AVANT DE SAUVEGARDER</t>
        </r>
      </text>
    </comment>
  </commentList>
</comments>
</file>

<file path=xl/sharedStrings.xml><?xml version="1.0" encoding="utf-8"?>
<sst xmlns="http://schemas.openxmlformats.org/spreadsheetml/2006/main" count="4649" uniqueCount="1292">
  <si>
    <t>UFL</t>
  </si>
  <si>
    <t>Catégorie</t>
  </si>
  <si>
    <t>UEM</t>
  </si>
  <si>
    <t>P</t>
  </si>
  <si>
    <t>Ca</t>
  </si>
  <si>
    <t>Brebis</t>
  </si>
  <si>
    <t>Agnelle</t>
  </si>
  <si>
    <t>Bélier</t>
  </si>
  <si>
    <t>Semaines - 5 à - 6</t>
  </si>
  <si>
    <t>Semaines - 3 à - 4</t>
  </si>
  <si>
    <t>Semaines - 2 à 0</t>
  </si>
  <si>
    <t xml:space="preserve">Semaines 0 à + 3 </t>
  </si>
  <si>
    <t>Semaines + 4 à + 6</t>
  </si>
  <si>
    <t>Semaines + 7 à + 10</t>
  </si>
  <si>
    <t>U.E.M</t>
  </si>
  <si>
    <t>U.F.L</t>
  </si>
  <si>
    <r>
      <t>P</t>
    </r>
    <r>
      <rPr>
        <b/>
        <vertAlign val="subscript"/>
        <sz val="11"/>
        <color indexed="8"/>
        <rFont val="Calibri"/>
        <family val="2"/>
      </rPr>
      <t>abs</t>
    </r>
  </si>
  <si>
    <r>
      <t>Ca</t>
    </r>
    <r>
      <rPr>
        <b/>
        <vertAlign val="subscript"/>
        <sz val="11"/>
        <color indexed="8"/>
        <rFont val="Calibri"/>
        <family val="2"/>
      </rPr>
      <t>abs</t>
    </r>
  </si>
  <si>
    <t>APPORTS ALIMENTAIRES RECOMMANDES</t>
  </si>
  <si>
    <t>CATEGORIE</t>
  </si>
  <si>
    <t>Stade physiologique</t>
  </si>
  <si>
    <t>PDI</t>
  </si>
  <si>
    <t>P.D.I.</t>
  </si>
  <si>
    <t>Catégorie animal</t>
  </si>
  <si>
    <t>Foin</t>
  </si>
  <si>
    <t>Ensilage</t>
  </si>
  <si>
    <t>Paille</t>
  </si>
  <si>
    <t>Pâture</t>
  </si>
  <si>
    <t>Ventilé (en grange)</t>
  </si>
  <si>
    <t>Ressuyage (25 % MS)</t>
  </si>
  <si>
    <t>Préfané (35 % MS)</t>
  </si>
  <si>
    <t>Enrubanné (&gt; 45 % MS)</t>
  </si>
  <si>
    <t>Conditions de récolte</t>
  </si>
  <si>
    <t>Prairie naturelle</t>
  </si>
  <si>
    <t>Trèfle-Ray Grass</t>
  </si>
  <si>
    <t>Luzerne-Dactyle</t>
  </si>
  <si>
    <t>2ème cycle (regain)</t>
  </si>
  <si>
    <t>Catégorie fourrage</t>
  </si>
  <si>
    <t>Espèce</t>
  </si>
  <si>
    <t>Maïs</t>
  </si>
  <si>
    <t>Céréale</t>
  </si>
  <si>
    <t xml:space="preserve"> </t>
  </si>
  <si>
    <t>P.D.I.N.</t>
  </si>
  <si>
    <t>P.D.I.E.</t>
  </si>
  <si>
    <t>Rationnement des bovins allaitants</t>
  </si>
  <si>
    <r>
      <rPr>
        <b/>
        <sz val="20"/>
        <color indexed="60"/>
        <rFont val="Calibri"/>
        <family val="2"/>
      </rPr>
      <t>1</t>
    </r>
    <r>
      <rPr>
        <i/>
        <sz val="10"/>
        <color indexed="8"/>
        <rFont val="Calibri"/>
        <family val="2"/>
      </rPr>
      <t xml:space="preserve"> Cliquez sur les flèches pour faire votre choix</t>
    </r>
  </si>
  <si>
    <t xml:space="preserve">Catégorie </t>
  </si>
  <si>
    <t>Valeurs alimentaires / kg brut</t>
  </si>
  <si>
    <t>U.F.L.</t>
  </si>
  <si>
    <r>
      <t>P</t>
    </r>
    <r>
      <rPr>
        <b/>
        <vertAlign val="subscript"/>
        <sz val="12"/>
        <color indexed="8"/>
        <rFont val="Calibri"/>
        <family val="2"/>
      </rPr>
      <t>abs</t>
    </r>
  </si>
  <si>
    <r>
      <t>Ca</t>
    </r>
    <r>
      <rPr>
        <b/>
        <vertAlign val="subscript"/>
        <sz val="12"/>
        <color indexed="8"/>
        <rFont val="Calibri"/>
        <family val="2"/>
      </rPr>
      <t>abs</t>
    </r>
  </si>
  <si>
    <t>Blé</t>
  </si>
  <si>
    <t>Colza 35</t>
  </si>
  <si>
    <t>Pois</t>
  </si>
  <si>
    <t>Orge</t>
  </si>
  <si>
    <t>Soja 48</t>
  </si>
  <si>
    <t>Lupin</t>
  </si>
  <si>
    <t>Tourteau</t>
  </si>
  <si>
    <t>Avoine</t>
  </si>
  <si>
    <t>Tournesol</t>
  </si>
  <si>
    <t>Féverole</t>
  </si>
  <si>
    <t>Protéagineux</t>
  </si>
  <si>
    <t>Triticale</t>
  </si>
  <si>
    <t>Lin</t>
  </si>
  <si>
    <t>Vesce</t>
  </si>
  <si>
    <t>Divers</t>
  </si>
  <si>
    <t>Seigle</t>
  </si>
  <si>
    <t>Arachide</t>
  </si>
  <si>
    <t>Maïs grain</t>
  </si>
  <si>
    <t>Sarrazin</t>
  </si>
  <si>
    <t>C</t>
  </si>
  <si>
    <r>
      <t>P</t>
    </r>
    <r>
      <rPr>
        <vertAlign val="subscript"/>
        <sz val="11"/>
        <color indexed="8"/>
        <rFont val="Calibri"/>
        <family val="2"/>
      </rPr>
      <t>abs</t>
    </r>
  </si>
  <si>
    <r>
      <t>Ca</t>
    </r>
    <r>
      <rPr>
        <vertAlign val="subscript"/>
        <sz val="11"/>
        <color indexed="8"/>
        <rFont val="Calibri"/>
        <family val="2"/>
      </rPr>
      <t>abs</t>
    </r>
  </si>
  <si>
    <t>Coton</t>
  </si>
  <si>
    <t>Rationnement des ovins allaitants</t>
  </si>
  <si>
    <t>CONCENTRE N°1</t>
  </si>
  <si>
    <t>CONCENTRE N°2</t>
  </si>
  <si>
    <t>Déficit</t>
  </si>
  <si>
    <t>x</t>
  </si>
  <si>
    <t>y</t>
  </si>
  <si>
    <t>kg</t>
  </si>
  <si>
    <t>Apports Alimentaires Recommandés</t>
  </si>
  <si>
    <t>PDIN</t>
  </si>
  <si>
    <t>PDIE</t>
  </si>
  <si>
    <t>Quantité   kg</t>
  </si>
  <si>
    <r>
      <t xml:space="preserve">Aliments                                       </t>
    </r>
    <r>
      <rPr>
        <b/>
        <i/>
        <sz val="8"/>
        <color indexed="8"/>
        <rFont val="Calibri"/>
        <family val="2"/>
      </rPr>
      <t>(valeurs / kg MS)</t>
    </r>
  </si>
  <si>
    <t>Valeurs alimentaires</t>
  </si>
  <si>
    <t>MS</t>
  </si>
  <si>
    <t xml:space="preserve"> = </t>
  </si>
  <si>
    <t>TOTAL RATION</t>
  </si>
  <si>
    <t>Différence</t>
  </si>
  <si>
    <t>Système de 2 équations et 2 inconnues (x et y)</t>
  </si>
  <si>
    <t xml:space="preserve"> + </t>
  </si>
  <si>
    <t>Concentrés</t>
  </si>
  <si>
    <t>Cliquez</t>
  </si>
  <si>
    <t>Poids vif</t>
  </si>
  <si>
    <t>50 kg</t>
  </si>
  <si>
    <t>60 kg</t>
  </si>
  <si>
    <t>70 kg</t>
  </si>
  <si>
    <t>80 kg</t>
  </si>
  <si>
    <t>BESOINS ALIMENTAIRES</t>
  </si>
  <si>
    <r>
      <rPr>
        <b/>
        <sz val="20"/>
        <color indexed="60"/>
        <rFont val="Calibri"/>
        <family val="2"/>
      </rPr>
      <t>2</t>
    </r>
    <r>
      <rPr>
        <i/>
        <sz val="10"/>
        <color indexed="8"/>
        <rFont val="Calibri"/>
        <family val="2"/>
      </rPr>
      <t xml:space="preserve"> Cliquez sur les flèches pour faire votre choix</t>
    </r>
  </si>
  <si>
    <t>Choisir le C.M.V. ayant le rapport "Ca / P" le plus approchant du déficit</t>
  </si>
  <si>
    <t>C.M.V. choisi</t>
  </si>
  <si>
    <t>Type</t>
  </si>
  <si>
    <t>Ca / P</t>
  </si>
  <si>
    <t xml:space="preserve"> 10 - 20</t>
  </si>
  <si>
    <t xml:space="preserve"> 12 - 12</t>
  </si>
  <si>
    <t xml:space="preserve"> 5 - 20</t>
  </si>
  <si>
    <t xml:space="preserve"> 5 - 25</t>
  </si>
  <si>
    <t xml:space="preserve"> 7 - 21</t>
  </si>
  <si>
    <t xml:space="preserve"> 8 - 12 </t>
  </si>
  <si>
    <t xml:space="preserve"> 9 - 14</t>
  </si>
  <si>
    <t>COUT DE CONCENTRE</t>
  </si>
  <si>
    <t>RATION</t>
  </si>
  <si>
    <t>%</t>
  </si>
  <si>
    <t>Mon aliment</t>
  </si>
  <si>
    <t>Les valeurs alimentaires sont reportées dans la liste des aliments "Mon aliment"</t>
  </si>
  <si>
    <t>% MS</t>
  </si>
  <si>
    <t>Luzerne deshydratée</t>
  </si>
  <si>
    <t>Pulpe de betterave</t>
  </si>
  <si>
    <t>FORMULATION ET CALCUL DU COUT D'UN CONCENTRE FERMIER</t>
  </si>
  <si>
    <t>% M.S.</t>
  </si>
  <si>
    <t xml:space="preserve">30 kg </t>
  </si>
  <si>
    <t xml:space="preserve">40 kg </t>
  </si>
  <si>
    <t>100 kg</t>
  </si>
  <si>
    <t>Espèce végétale</t>
  </si>
  <si>
    <r>
      <rPr>
        <b/>
        <sz val="20"/>
        <color indexed="60"/>
        <rFont val="Calibri"/>
        <family val="2"/>
      </rPr>
      <t xml:space="preserve">3 </t>
    </r>
    <r>
      <rPr>
        <i/>
        <sz val="10"/>
        <color indexed="8"/>
        <rFont val="Calibri"/>
        <family val="2"/>
      </rPr>
      <t xml:space="preserve">Saisissez les quantités brutes distribuées  ou cliquez sur </t>
    </r>
    <r>
      <rPr>
        <b/>
        <i/>
        <sz val="10"/>
        <color indexed="60"/>
        <rFont val="Calibri"/>
        <family val="2"/>
      </rPr>
      <t>"Mélange"</t>
    </r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</si>
  <si>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</si>
  <si>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</si>
  <si>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</si>
  <si>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</si>
  <si>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</si>
  <si>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</si>
  <si>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</si>
  <si>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</si>
  <si>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</si>
  <si>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</si>
  <si>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</si>
  <si>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</si>
  <si>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kg / jour</t>
  </si>
  <si>
    <t>Besoins pour la période</t>
  </si>
  <si>
    <t>Cout total</t>
  </si>
  <si>
    <t>tonnes</t>
  </si>
  <si>
    <r>
      <t xml:space="preserve">Bilan </t>
    </r>
    <r>
      <rPr>
        <i/>
        <sz val="11"/>
        <color indexed="8"/>
        <rFont val="Calibri"/>
        <family val="2"/>
      </rPr>
      <t>alimentaire et coût</t>
    </r>
  </si>
  <si>
    <t>Luzerne déhydratée</t>
  </si>
  <si>
    <t>Mélasse</t>
  </si>
  <si>
    <t>Fané au sol par beau temps</t>
  </si>
  <si>
    <t>Fané au sol &lt; 10 jours)</t>
  </si>
  <si>
    <t>Ray Grass Italien</t>
  </si>
  <si>
    <t>Conditions normales 35  % MS</t>
  </si>
  <si>
    <t>Très bonnes conditions (&gt; 35 % MS)</t>
  </si>
  <si>
    <t>Conditions normales 30  % MS</t>
  </si>
  <si>
    <t>Mauvaises conditions &lt; 30 % MS</t>
  </si>
  <si>
    <t>Paille traitée Ammoniac</t>
  </si>
  <si>
    <t>Fétuque élevée</t>
  </si>
  <si>
    <t xml:space="preserve">80 kg </t>
  </si>
  <si>
    <t>90 kg</t>
  </si>
  <si>
    <t xml:space="preserve">Bélier  70 kg   Croissance          </t>
  </si>
  <si>
    <t xml:space="preserve">Bélier  70 kg   Flushing          </t>
  </si>
  <si>
    <t xml:space="preserve">Bélier  70 kg   Entretien          </t>
  </si>
  <si>
    <t xml:space="preserve">Bélier  80 kg   Croissance          </t>
  </si>
  <si>
    <t xml:space="preserve">Bélier  80 kg   Flushing          </t>
  </si>
  <si>
    <t xml:space="preserve">Bélier  80 kg   Entretien          </t>
  </si>
  <si>
    <t xml:space="preserve">Bélier  90 kg   Croissance          </t>
  </si>
  <si>
    <t xml:space="preserve">Bélier  90 kg   Flushing          </t>
  </si>
  <si>
    <t xml:space="preserve">Bélier  90 kg   Entretien          </t>
  </si>
  <si>
    <t xml:space="preserve">Bélier  100 kg   Croissance          </t>
  </si>
  <si>
    <t xml:space="preserve">Bélier  100 kg   Flushing          </t>
  </si>
  <si>
    <t xml:space="preserve">Bélier  100 kg   Entretien          </t>
  </si>
  <si>
    <t>Brebis  50 kg   Vide    Mauvais Etat (&lt; 2,5)      Sans prise de poids - Entretien</t>
  </si>
  <si>
    <t>Brebis  50 kg   Vide    Mauvais Etat (&lt; 2,5)      Avec prise de poids + 150 g/j</t>
  </si>
  <si>
    <t>Brebis  50 kg   Vide    Mauvais Etat (&lt; 2,5)      flushing + 100 g/j</t>
  </si>
  <si>
    <t>Brebis  50 kg   Vide    Etat Moyen (2,5 - 3,5)      flushing + 100 g/j</t>
  </si>
  <si>
    <t>Brebis  50 kg   Vide    Etat Moyen (2,5 - 3,5)      Avec prise de poids + 150 g/j</t>
  </si>
  <si>
    <t>Brebis  50 kg   Vide    Etat Moyen (2,5 - 3,5)      Sans prise de poids - Entretien</t>
  </si>
  <si>
    <t>Brebis  50 kg   Vide    Bon Etat (&gt; 3,5)      Sans prise de poids - Entretien</t>
  </si>
  <si>
    <t>Brebis  50 kg   Vide    Bon Etat (&gt; 3,5)      Avec prise de poids + 150 g/j</t>
  </si>
  <si>
    <t>Brebis  50 kg   Vide    Bon Etat (&gt; 3,5)      flushing + 100 g/j</t>
  </si>
  <si>
    <t>Brebis  60 kg   Vide    Mauvais Etat (&lt; 2,5)      Sans prise de poids - Entretien</t>
  </si>
  <si>
    <t>Brebis  60 kg   Vide    Mauvais Etat (&lt; 2,5)      Avec prise de poids + 150 g/j</t>
  </si>
  <si>
    <t>Brebis  60 kg   Vide    Mauvais Etat (&lt; 2,5)      flushing + 100 g/j</t>
  </si>
  <si>
    <t>Brebis  60 kg   Vide    Etat Moyen (2,5 - 3,5)      Sans prise de poids - Entretien</t>
  </si>
  <si>
    <t>Brebis  60 kg   Vide    Etat Moyen (2,5 - 3,5)      Avec prise de poids + 150 g/j</t>
  </si>
  <si>
    <t>Brebis  60 kg   Vide    Etat Moyen (2,5 - 3,5)      flushing + 100 g/j</t>
  </si>
  <si>
    <t>Brebis  60 kg   Vide    Bon Etat (&gt; 3,5)      Sans prise de poids - Entretien</t>
  </si>
  <si>
    <t>Brebis  60 kg   Vide    Bon Etat (&gt; 3,5)      Avec prise de poids + 150 g/j</t>
  </si>
  <si>
    <t>Brebis  60 kg   Vide    Bon Etat (&gt; 3,5)      flushing + 100 g/j</t>
  </si>
  <si>
    <t>Brebis  70 kg   Vide    Mauvais Etat (&lt; 2,5)      Sans prise de poids - Entretien</t>
  </si>
  <si>
    <t>Brebis  70 kg   Vide    Mauvais Etat (&lt; 2,5)      Avec prise de poids + 150 g/j</t>
  </si>
  <si>
    <t>Brebis  70 kg   Vide    Mauvais Etat (&lt; 2,5)      flushing + 100 g/j</t>
  </si>
  <si>
    <t>Brebis  70 kg   Vide    Etat Moyen (2,5 - 3,5)      Sans prise de poids - Entretien</t>
  </si>
  <si>
    <t>Brebis  70 kg   Vide    Etat Moyen (2,5 - 3,5)      Avec prise de poids + 150 g/j</t>
  </si>
  <si>
    <t>Brebis  70 kg   Vide    Etat Moyen (2,5 - 3,5)      flushing + 100 g/j</t>
  </si>
  <si>
    <t>Brebis  70 kg   Vide    Bon Etat (&gt; 3,5)      Sans prise de poids - Entretien</t>
  </si>
  <si>
    <t>Brebis  70 kg   Vide    Bon Etat (&gt; 3,5)      Avec prise de poids + 150 g/j</t>
  </si>
  <si>
    <t>Brebis  70 kg   Vide    Bon Etat (&gt; 3,5)      flushing + 100 g/j</t>
  </si>
  <si>
    <t>Brebis  80 kg   Vide    Mauvais Etat (&lt; 2,5)      Sans prise de poids - Entretien</t>
  </si>
  <si>
    <t>Brebis  80 kg   Vide    Mauvais Etat (&lt; 2,5)      Avec prise de poids + 150 g/j</t>
  </si>
  <si>
    <t>Brebis  80 kg   Vide    Mauvais Etat (&lt; 2,5)      flushing + 100 g/j</t>
  </si>
  <si>
    <t>Brebis  80 kg   Vide    Etat Moyen (2,5 - 3,5)      Sans prise de poids - Entretien</t>
  </si>
  <si>
    <t>Brebis  80 kg   Vide    Etat Moyen (2,5 - 3,5)      Avec prise de poids + 150 g/j</t>
  </si>
  <si>
    <t>Brebis  80 kg   Vide    Etat Moyen (2,5 - 3,5)      flushing + 100 g/j</t>
  </si>
  <si>
    <t>Brebis  80 kg   Vide    Bon Etat (&gt; 3,5)      Sans prise de poids - Entretien</t>
  </si>
  <si>
    <t>Brebis  80 kg   Vide    Bon Etat (&gt; 3,5)      Avec prise de poids + 150 g/j</t>
  </si>
  <si>
    <t>Brebis  80 kg   Vide    Bon Etat (&gt; 3,5)      flushing + 100 g/j</t>
  </si>
  <si>
    <t>Brebis  50 kg   Gestante    Simple      Semaines - 5 à - 6</t>
  </si>
  <si>
    <t>Brebis  50 kg   Gestante    Simple      Semaines - 2 à 0</t>
  </si>
  <si>
    <t>Brebis  50 kg   Gestante    Double      Semaines - 5 à - 6</t>
  </si>
  <si>
    <t>Brebis  50 kg   Gestante    Double      Semaines - 2 à 0</t>
  </si>
  <si>
    <t>Brebis  50 kg   Gestante    Inconnu      Semaines - 5 à - 6</t>
  </si>
  <si>
    <t>Brebis  50 kg   Gestante    Inconnu      Semaines - 2 à 0</t>
  </si>
  <si>
    <t>Brebis  60 kg   Gestante    Simple      Semaines - 5 à - 6</t>
  </si>
  <si>
    <t>Brebis  60 kg   Gestante    Simple      Semaines - 2 à 0</t>
  </si>
  <si>
    <t>Brebis  60 kg   Gestante    Double      Semaines - 5 à - 6</t>
  </si>
  <si>
    <t>Brebis  60 kg   Gestante    Double      Semaines - 2 à 0</t>
  </si>
  <si>
    <t>Brebis  60 kg   Gestante    Inconnu      Semaines - 5 à - 6</t>
  </si>
  <si>
    <t>Brebis  60 kg   Gestante    Inconnu      Semaines - 2 à 0</t>
  </si>
  <si>
    <t>Brebis  70 kg   Gestante    Simple      Semaines - 5 à - 6</t>
  </si>
  <si>
    <t>Brebis  70 kg   Gestante    Simple      Semaines - 2 à 0</t>
  </si>
  <si>
    <t>Brebis  70 kg   Gestante    Double      Semaines - 5 à - 6</t>
  </si>
  <si>
    <t>Brebis  70 kg   Gestante    Double      Semaines - 2 à 0</t>
  </si>
  <si>
    <t>Brebis  70 kg   Gestante    Inconnu      Semaines - 5 à - 6</t>
  </si>
  <si>
    <t>Brebis  70 kg   Gestante    Inconnu      Semaines - 2 à 0</t>
  </si>
  <si>
    <t>Brebis  80 kg   Gestante    Simple      Semaines - 5 à - 6</t>
  </si>
  <si>
    <t>Brebis  80 kg   Gestante    Simple      Semaines - 2 à 0</t>
  </si>
  <si>
    <t>Brebis  80 kg   Gestante    Double      Semaines - 5 à - 6</t>
  </si>
  <si>
    <t>Brebis  80 kg   Gestante    Double      Semaines - 2 à 0</t>
  </si>
  <si>
    <t>Brebis  80 kg   Gestante    Inconnu      Semaines - 5 à - 6</t>
  </si>
  <si>
    <t>Brebis  80 kg   Gestante    Inconnu      Semaines - 2 à 0</t>
  </si>
  <si>
    <t xml:space="preserve">Brebis  50 kg   Allaitante    Simple      Semaines 0 à + 3 </t>
  </si>
  <si>
    <t xml:space="preserve">Brebis  50 kg   Allaitante    Double      Semaines 0 à + 3 </t>
  </si>
  <si>
    <t xml:space="preserve">Brebis  60 kg   Allaitante    Simple      Semaines 0 à + 3 </t>
  </si>
  <si>
    <t xml:space="preserve">Brebis  60 kg   Allaitante    Double      Semaines 0 à + 3 </t>
  </si>
  <si>
    <t xml:space="preserve">Brebis  70 kg   Allaitante    Simple      Semaines 0 à + 3 </t>
  </si>
  <si>
    <t xml:space="preserve">Brebis  70 kg   Allaitante    Double      Semaines 0 à + 3 </t>
  </si>
  <si>
    <t xml:space="preserve">Brebis  80 kg   Allaitante    Simple      Semaines 0 à + 3 </t>
  </si>
  <si>
    <t xml:space="preserve">Brebis  80 kg   Allaitante    Double      Semaines 0 à + 3 </t>
  </si>
  <si>
    <t>ND</t>
  </si>
  <si>
    <t>Drêches</t>
  </si>
  <si>
    <t>Huile de colza</t>
  </si>
  <si>
    <t>Lupin Blanc</t>
  </si>
  <si>
    <t>Poudre de lait écrémé</t>
  </si>
  <si>
    <t>Sorgho</t>
  </si>
  <si>
    <t>Urée</t>
  </si>
  <si>
    <t>Mélange 3/4   O - 1/4 S</t>
  </si>
  <si>
    <t>Mélange 2/3   O - 1/3 S</t>
  </si>
  <si>
    <t>Mélange 80 %   O - 20 % S</t>
  </si>
  <si>
    <t>Mélange 2/3   T - 1/3 C</t>
  </si>
  <si>
    <t>Graines de Colza</t>
  </si>
  <si>
    <t>Huile de Colza</t>
  </si>
  <si>
    <t>Lait écrémé en poudre</t>
  </si>
  <si>
    <t>Pulpe de Betterave</t>
  </si>
  <si>
    <t>UEB</t>
  </si>
  <si>
    <t>UFV</t>
  </si>
  <si>
    <t>Fétuque</t>
  </si>
  <si>
    <t>Luzerne</t>
  </si>
  <si>
    <t>Fané par beau temps 3è coupe</t>
  </si>
  <si>
    <t>Fané &lt; 10 jours 3è coupe</t>
  </si>
  <si>
    <t>Colza fourrager</t>
  </si>
  <si>
    <t>Trèfle blanc</t>
  </si>
  <si>
    <t>Navet</t>
  </si>
  <si>
    <t xml:space="preserve">Ensilage    Maïs    Mauvaises conditions &lt; 30 % MS  </t>
  </si>
  <si>
    <t xml:space="preserve">Ensilage    Maïs    Conditions normales 30  % MS  </t>
  </si>
  <si>
    <t xml:space="preserve">Ensilage    Maïs    Conditions normales 35  % MS  </t>
  </si>
  <si>
    <t xml:space="preserve">Ensilage    Maïs    Très bonnes conditions (&gt; 35 % MS)  </t>
  </si>
  <si>
    <t xml:space="preserve">Ensilage    Maïs    Conditions normales 25  % MS  </t>
  </si>
  <si>
    <t>Ensilage    Prairie naturelle    Ressuyage (25 % MS)  2ème cycle (regain)</t>
  </si>
  <si>
    <t>Ensilage    Prairie naturelle    Préfané (35 % MS)  2ème cycle (regain)</t>
  </si>
  <si>
    <t>Ensilage    Prairie naturelle    Enrubanné (&gt; 45 % MS)  2ème cycle (regain)</t>
  </si>
  <si>
    <t>Conditions normales 25  % MS</t>
  </si>
  <si>
    <t>Ensilage    Fétuque    Ressuyage (25 % MS)  1er cycle début épiaison (25/05)</t>
  </si>
  <si>
    <t>Ensilage    Fétuque    Ressuyage (25 % MS)  1er cycle  épaison (10/06)</t>
  </si>
  <si>
    <t>Ensilage    Fétuque    Ressuyage (25 % MS)  2ème cycle (regain)</t>
  </si>
  <si>
    <t>Ensilage    Fétuque    Préfané (35 % MS)  1er cycle début épiaison (25/05)</t>
  </si>
  <si>
    <t>Ensilage    Fétuque    Préfané (35 % MS)  1er cycle  épaison (10/06)</t>
  </si>
  <si>
    <t>Ensilage    Fétuque    Préfané (35 % MS)  2ème cycle (regain)</t>
  </si>
  <si>
    <t>Ensilage    Fétuque    Enrubanné (&gt; 45 % MS)  1er cycle début épiaison (25/05)</t>
  </si>
  <si>
    <t>Ensilage    Fétuque    Enrubanné (&gt; 45 % MS)  1er cycle  épaison (10/06)</t>
  </si>
  <si>
    <t>Ensilage    Fétuque    Enrubanné (&gt; 45 % MS)  2ème cycle (regain)</t>
  </si>
  <si>
    <t>Ensilage    Luzerne-Dactyle    Ressuyage (25 % MS)  1er cycle début épiaison (25/05)</t>
  </si>
  <si>
    <t>Ensilage    Luzerne-Dactyle    Ressuyage (25 % MS)  1er cycle  épaison (10/06)</t>
  </si>
  <si>
    <t>Ensilage    Luzerne-Dactyle    Ressuyage (25 % MS)  2ème cycle (regain)</t>
  </si>
  <si>
    <t>Ensilage    Luzerne-Dactyle    Préfané (35 % MS)  1er cycle début épiaison (25/05)</t>
  </si>
  <si>
    <t>Ensilage    Luzerne-Dactyle    Préfané (35 % MS)  1er cycle  épaison (10/06)</t>
  </si>
  <si>
    <t>Ensilage    Luzerne-Dactyle    Préfané (35 % MS)  2ème cycle (regain)</t>
  </si>
  <si>
    <t>Ensilage    Luzerne-Dactyle    Enrubanné (&gt; 45 % MS)  1er cycle début épiaison (25/05)</t>
  </si>
  <si>
    <t>Ensilage    Luzerne-Dactyle    Enrubanné (&gt; 45 % MS)  1er cycle  épaison (10/06)</t>
  </si>
  <si>
    <t>Ensilage    Luzerne-Dactyle    Enrubanné (&gt; 45 % MS)  2ème cycle (regain)</t>
  </si>
  <si>
    <r>
      <rPr>
        <b/>
        <sz val="10"/>
        <color indexed="8"/>
        <rFont val="Calibri"/>
        <family val="2"/>
      </rPr>
      <t>ND</t>
    </r>
    <r>
      <rPr>
        <i/>
        <sz val="10"/>
        <color indexed="8"/>
        <rFont val="Calibri"/>
        <family val="2"/>
      </rPr>
      <t>: non disponible</t>
    </r>
  </si>
  <si>
    <t>Ensilage    Fétuque    Ressuyage (25 % MS)  1er cycle début floraison (20/06)</t>
  </si>
  <si>
    <t>Ensilage    Fétuque    Préfané (35 % MS)  1er cycle début floraison (20/06)</t>
  </si>
  <si>
    <t>Ensilage    Fétuque    Enrubanné (&gt; 45 % MS)  1er cycle début floraison (20/06)</t>
  </si>
  <si>
    <t>Ensilage    Luzerne-Dactyle    Ressuyage (25 % MS)  1er cycle début floraison (20/06)</t>
  </si>
  <si>
    <t>Ensilage    Luzerne-Dactyle    Préfané (35 % MS)  1er cycle début floraison (20/06)</t>
  </si>
  <si>
    <t>Ensilage    Luzerne-Dactyle    Enrubanné (&gt; 45 % MS)  1er cycle début floraison (20/06)</t>
  </si>
  <si>
    <t>Ensilage    Trèfle-Ray Grass    Ressuyage (25 % MS)  1er cycle début épiaison (25/05)</t>
  </si>
  <si>
    <t>Ensilage    Trèfle-Ray Grass    Ressuyage (25 % MS)  1er cycle  épaison (10/06)</t>
  </si>
  <si>
    <t>Ensilage    Trèfle-Ray Grass    Ressuyage (25 % MS)  1er cycle début floraison (20/06)</t>
  </si>
  <si>
    <t>Ensilage    Trèfle-Ray Grass    Ressuyage (25 % MS)  2ème cycle (regain)</t>
  </si>
  <si>
    <t>Ensilage    Trèfle-Ray Grass    Préfané (35 % MS)  1er cycle début épiaison (25/05)</t>
  </si>
  <si>
    <t>Ensilage    Trèfle-Ray Grass    Préfané (35 % MS)  1er cycle  épaison (10/06)</t>
  </si>
  <si>
    <t>Ensilage    Trèfle-Ray Grass    Préfané (35 % MS)  1er cycle début floraison (20/06)</t>
  </si>
  <si>
    <t>Ensilage    Trèfle-Ray Grass    Préfané (35 % MS)  2ème cycle (regain)</t>
  </si>
  <si>
    <t>Ensilage    Trèfle-Ray Grass    Enrubanné (&gt; 45 % MS)  1er cycle début épiaison (25/05)</t>
  </si>
  <si>
    <t>Ensilage    Trèfle-Ray Grass    Enrubanné (&gt; 45 % MS)  1er cycle  épaison (10/06)</t>
  </si>
  <si>
    <t>Ensilage    Trèfle-Ray Grass    Enrubanné (&gt; 45 % MS)  1er cycle début floraison (20/06)</t>
  </si>
  <si>
    <t>Ensilage    Trèfle-Ray Grass    Enrubanné (&gt; 45 % MS)  2ème cycle (regain)</t>
  </si>
  <si>
    <t>Ensilage    Ray Grass Italien    Ressuyage (25 % MS)  1er cycle début épiaison (25/05)</t>
  </si>
  <si>
    <t>Ensilage    Ray Grass Italien    Ressuyage (25 % MS)  1er cycle  épaison (10/06)</t>
  </si>
  <si>
    <t>Ensilage    Ray Grass Italien    Ressuyage (25 % MS)  1er cycle début floraison (20/06)</t>
  </si>
  <si>
    <t>Ensilage    Ray Grass Italien    Ressuyage (25 % MS)  2ème cycle (regain)</t>
  </si>
  <si>
    <t>Ensilage    Ray Grass Italien    Préfané (35 % MS)  1er cycle début épiaison (25/05)</t>
  </si>
  <si>
    <t>Ensilage    Ray Grass Italien    Préfané (35 % MS)  1er cycle  épaison (10/06)</t>
  </si>
  <si>
    <t>Ensilage    Ray Grass Italien    Préfané (35 % MS)  1er cycle début floraison (20/06)</t>
  </si>
  <si>
    <t>Ensilage    Ray Grass Italien    Préfané (35 % MS)  2ème cycle (regain)</t>
  </si>
  <si>
    <t>Ensilage    Ray Grass Italien    Enrubanné (&gt; 45 % MS)  1er cycle début épiaison (25/05)</t>
  </si>
  <si>
    <t>Ensilage    Ray Grass Italien    Enrubanné (&gt; 45 % MS)  1er cycle  épaison (10/06)</t>
  </si>
  <si>
    <t>Ensilage    Ray Grass Italien    Enrubanné (&gt; 45 % MS)  1er cycle début floraison (20/06)</t>
  </si>
  <si>
    <t>Ensilage    Ray Grass Italien    Enrubanné (&gt; 45 % MS)  2ème cycle (regain)</t>
  </si>
  <si>
    <t>Ensilage    Luzerne    Ressuyage (25 % MS)  1er cycle début épiaison (25/05)</t>
  </si>
  <si>
    <t>Ensilage    Luzerne    Ressuyage (25 % MS)  1er cycle  épaison (10/06)</t>
  </si>
  <si>
    <t>Ensilage    Luzerne    Ressuyage (25 % MS)  1er cycle début floraison (20/06)</t>
  </si>
  <si>
    <t>Ensilage    Luzerne    Ressuyage (25 % MS)  2ème cycle (regain)</t>
  </si>
  <si>
    <t>Ensilage    Luzerne    Préfané (35 % MS)  1er cycle début épiaison (25/05)</t>
  </si>
  <si>
    <t>Ensilage    Luzerne    Préfané (35 % MS)  1er cycle  épaison (10/06)</t>
  </si>
  <si>
    <t>Ensilage    Luzerne    Préfané (35 % MS)  1er cycle début floraison (20/06)</t>
  </si>
  <si>
    <t>Ensilage    Luzerne    Préfané (35 % MS)  2ème cycle (regain)</t>
  </si>
  <si>
    <t>Ensilage    Luzerne    Enrubanné (&gt; 45 % MS)  1er cycle début épiaison (25/05)</t>
  </si>
  <si>
    <t>Ensilage    Luzerne    Enrubanné (&gt; 45 % MS)  1er cycle  épaison (10/06)</t>
  </si>
  <si>
    <t>Ensilage    Luzerne    Enrubanné (&gt; 45 % MS)  1er cycle début floraison (20/06)</t>
  </si>
  <si>
    <t>Ensilage    Luzerne    Enrubanné (&gt; 45 % MS)  2ème cycle (regain)</t>
  </si>
  <si>
    <t xml:space="preserve">Paille    Blé      </t>
  </si>
  <si>
    <t xml:space="preserve">Paille    Orge      </t>
  </si>
  <si>
    <t xml:space="preserve">Paille    Triticale      </t>
  </si>
  <si>
    <t xml:space="preserve">Paille    Avoine      </t>
  </si>
  <si>
    <t xml:space="preserve">Paille    Paille traitée Ammoniac      </t>
  </si>
  <si>
    <t>Foin    Prairie naturelle    Ventilé (en grange)  1er cycle début épiaison (25/05)</t>
  </si>
  <si>
    <t>Foin    Prairie naturelle    Ventilé (en grange)  1er cycle  épaison (10/06)</t>
  </si>
  <si>
    <t>Foin    Prairie naturelle    Ventilé (en grange)  1er cycle début floraison (20/06)</t>
  </si>
  <si>
    <t>Foin    Prairie naturelle    Ventilé (en grange)  2ème cycle (regain)</t>
  </si>
  <si>
    <t>Foin    Prairie naturelle    Fané au sol par beau temps  1er cycle début épiaison (25/05)</t>
  </si>
  <si>
    <t>Foin    Prairie naturelle    Fané au sol par beau temps  1er cycle  épaison (10/06)</t>
  </si>
  <si>
    <t>Foin    Prairie naturelle    Fané au sol par beau temps  1er cycle début floraison (20/06)</t>
  </si>
  <si>
    <t>Foin    Prairie naturelle    Fané au sol par beau temps  2ème cycle (regain)</t>
  </si>
  <si>
    <t>Foin    Prairie naturelle    Fané au sol &lt; 10 jours)  1er cycle début épiaison (25/05)</t>
  </si>
  <si>
    <t>Foin    Prairie naturelle    Fané au sol &lt; 10 jours)  1er cycle  épaison (10/06)</t>
  </si>
  <si>
    <t>Foin    Prairie naturelle    Fané au sol &lt; 10 jours)  1er cycle début floraison (20/06)</t>
  </si>
  <si>
    <t>Foin    Prairie naturelle    Fané au sol &lt; 10 jours)  2ème cycle (regain)</t>
  </si>
  <si>
    <t>Foin    Fétuque élevée    Ventilé (en grange)  1er cycle début épiaison (25/05)</t>
  </si>
  <si>
    <t>Foin    Fétuque élevée    Ventilé (en grange)  1er cycle  épaison (10/06)</t>
  </si>
  <si>
    <t>Foin    Fétuque élevée    Ventilé (en grange)  1er cycle début floraison (20/06)</t>
  </si>
  <si>
    <t>Foin    Fétuque élevée    Ventilé (en grange)  2ème cycle (regain)</t>
  </si>
  <si>
    <t>Foin    Fétuque élevée    Fané au sol par beau temps  1er cycle début épiaison (25/05)</t>
  </si>
  <si>
    <t>Foin    Fétuque élevée    Fané au sol par beau temps  1er cycle  épaison (10/06)</t>
  </si>
  <si>
    <t>Foin    Fétuque élevée    Fané au sol par beau temps  1er cycle début floraison (20/06)</t>
  </si>
  <si>
    <t>Foin    Fétuque élevée    Fané au sol par beau temps  2ème cycle (regain)</t>
  </si>
  <si>
    <t>Foin    Fétuque élevée    Fané au sol &lt; 10 jours)  1er cycle début épiaison (25/05)</t>
  </si>
  <si>
    <t>Foin    Fétuque élevée    Fané au sol &lt; 10 jours)  1er cycle  épaison (10/06)</t>
  </si>
  <si>
    <t>Foin    Fétuque élevée    Fané au sol &lt; 10 jours)  1er cycle début floraison (20/06)</t>
  </si>
  <si>
    <t>Foin    Fétuque élevée    Fané au sol &lt; 10 jours)  2ème cycle (regain)</t>
  </si>
  <si>
    <t>Foin    Luzerne-Dactyle    Ventilé (en grange)  1er cycle début épiaison (25/05)</t>
  </si>
  <si>
    <t>Foin    Luzerne-Dactyle    Ventilé (en grange)  1er cycle  épaison (10/06)</t>
  </si>
  <si>
    <t>Foin    Luzerne-Dactyle    Ventilé (en grange)  1er cycle début floraison (20/06)</t>
  </si>
  <si>
    <t>Foin    Luzerne-Dactyle    Ventilé (en grange)  2ème cycle (regain)</t>
  </si>
  <si>
    <t>Foin    Luzerne-Dactyle    Fané au sol par beau temps  1er cycle début épiaison (25/05)</t>
  </si>
  <si>
    <t>Foin    Luzerne-Dactyle    Fané au sol par beau temps  1er cycle  épaison (10/06)</t>
  </si>
  <si>
    <t>Foin    Luzerne-Dactyle    Fané au sol par beau temps  1er cycle début floraison (20/06)</t>
  </si>
  <si>
    <t>Foin    Luzerne-Dactyle    Fané au sol par beau temps  2ème cycle (regain)</t>
  </si>
  <si>
    <t>Foin    Luzerne-Dactyle    Fané au sol &lt; 10 jours)  1er cycle début épiaison (25/05)</t>
  </si>
  <si>
    <t>Foin    Luzerne-Dactyle    Fané au sol &lt; 10 jours)  1er cycle  épaison (10/06)</t>
  </si>
  <si>
    <t>Foin    Luzerne-Dactyle    Fané au sol &lt; 10 jours)  1er cycle début floraison (20/06)</t>
  </si>
  <si>
    <t>Foin    Luzerne-Dactyle    Fané au sol &lt; 10 jours)  2ème cycle (regain)</t>
  </si>
  <si>
    <t>Foin    Trèfle-Ray Grass    Ventilé (en grange)  1er cycle début épiaison (25/05)</t>
  </si>
  <si>
    <t>Foin    Trèfle-Ray Grass    Ventilé (en grange)  1er cycle  épaison (10/06)</t>
  </si>
  <si>
    <t>Foin    Trèfle-Ray Grass    Ventilé (en grange)  1er cycle début floraison (20/06)</t>
  </si>
  <si>
    <t>Foin    Trèfle-Ray Grass    Ventilé (en grange)  2ème cycle (regain)</t>
  </si>
  <si>
    <t>Foin    Trèfle-Ray Grass    Fané au sol par beau temps  1er cycle début épiaison (25/05)</t>
  </si>
  <si>
    <t>Foin    Trèfle-Ray Grass    Fané au sol par beau temps  1er cycle  épaison (10/06)</t>
  </si>
  <si>
    <t>Foin    Trèfle-Ray Grass    Fané au sol par beau temps  1er cycle début floraison (20/06)</t>
  </si>
  <si>
    <t>Foin    Trèfle-Ray Grass    Fané au sol par beau temps  2ème cycle (regain)</t>
  </si>
  <si>
    <t>Foin    Trèfle-Ray Grass    Fané au sol &lt; 10 jours)  1er cycle début épiaison (25/05)</t>
  </si>
  <si>
    <t>Foin    Trèfle-Ray Grass    Fané au sol &lt; 10 jours)  1er cycle  épaison (10/06)</t>
  </si>
  <si>
    <t>Foin    Trèfle-Ray Grass    Fané au sol &lt; 10 jours)  1er cycle début floraison (20/06)</t>
  </si>
  <si>
    <t>Foin    Trèfle-Ray Grass    Fané au sol &lt; 10 jours)  2ème cycle (regain)</t>
  </si>
  <si>
    <t>Foin    Ray Grass Italien    Ventilé (en grange)  1er cycle début épiaison (25/05)</t>
  </si>
  <si>
    <t>Foin    Ray Grass Italien    Ventilé (en grange)  1er cycle  épaison (10/06)</t>
  </si>
  <si>
    <t>Foin    Ray Grass Italien    Ventilé (en grange)  1er cycle début floraison (20/06)</t>
  </si>
  <si>
    <t>Foin    Ray Grass Italien    Ventilé (en grange)  2ème cycle (regain)</t>
  </si>
  <si>
    <t>Foin    Ray Grass Italien    Fané au sol par beau temps  1er cycle début épiaison (25/05)</t>
  </si>
  <si>
    <t>Foin    Ray Grass Italien    Fané au sol par beau temps  1er cycle  épaison (10/06)</t>
  </si>
  <si>
    <t>Foin    Ray Grass Italien    Fané au sol par beau temps  1er cycle début floraison (20/06)</t>
  </si>
  <si>
    <t>Foin    Ray Grass Italien    Fané au sol par beau temps  2ème cycle (regain)</t>
  </si>
  <si>
    <t>Foin    Ray Grass Italien    Fané au sol &lt; 10 jours)  1er cycle début épiaison (25/05)</t>
  </si>
  <si>
    <t>Foin    Ray Grass Italien    Fané au sol &lt; 10 jours)  1er cycle  épaison (10/06)</t>
  </si>
  <si>
    <t>Foin    Ray Grass Italien    Fané au sol &lt; 10 jours)  1er cycle début floraison (20/06)</t>
  </si>
  <si>
    <t>Foin    Ray Grass Italien    Fané au sol &lt; 10 jours)  2ème cycle (regain)</t>
  </si>
  <si>
    <t>Foin    Luzerne    Ventilé (en grange)  1er cycle début épiaison (25/05)</t>
  </si>
  <si>
    <t>Foin    Luzerne    Ventilé (en grange)  1er cycle  épaison (10/06)</t>
  </si>
  <si>
    <t>Foin    Luzerne    Ventilé (en grange)  1er cycle début floraison (20/06)</t>
  </si>
  <si>
    <t>Foin    Luzerne    Ventilé (en grange)  2ème cycle (regain)</t>
  </si>
  <si>
    <t>Foin    Luzerne    Fané au sol par beau temps  1er cycle début épiaison (25/05)</t>
  </si>
  <si>
    <t>Foin    Luzerne    Fané au sol par beau temps  1er cycle  épaison (10/06)</t>
  </si>
  <si>
    <t>Foin    Luzerne    Fané au sol par beau temps  1er cycle début floraison (20/06)</t>
  </si>
  <si>
    <t xml:space="preserve">Pré </t>
  </si>
  <si>
    <t>Déprimage</t>
  </si>
  <si>
    <t>Printemps</t>
  </si>
  <si>
    <t>Fin Printemps</t>
  </si>
  <si>
    <t>Repousses</t>
  </si>
  <si>
    <t>Pâture    Pré       Déprimage</t>
  </si>
  <si>
    <t>Pâture    Pré       Printemps</t>
  </si>
  <si>
    <t>Pâture    Pré       Fin Printemps</t>
  </si>
  <si>
    <t>Pâture    Pré       Repousse</t>
  </si>
  <si>
    <t xml:space="preserve">Pâture    Colza fourrager      </t>
  </si>
  <si>
    <t xml:space="preserve">Pâture    Vesce      </t>
  </si>
  <si>
    <t xml:space="preserve">Pâture    Trèfle blanc      </t>
  </si>
  <si>
    <t xml:space="preserve">Pâture    Avoine      </t>
  </si>
  <si>
    <t xml:space="preserve">Pâture    Navet      </t>
  </si>
  <si>
    <t>Betterave (distribuée)</t>
  </si>
  <si>
    <t xml:space="preserve">Pâture    Betterave (distribuée)      </t>
  </si>
  <si>
    <t>Foin    Luzerne    Fané au sol par beau temps  2ème cycle (regain)</t>
  </si>
  <si>
    <t>Foin    Luzerne    Fané au sol &lt; 10 jours)  1er cycle début épiaison (25/05)</t>
  </si>
  <si>
    <t>Foin    Luzerne    Fané au sol &lt; 10 jours)  1er cycle  épaison (10/06)</t>
  </si>
  <si>
    <t>Foin    Luzerne    Fané au sol &lt; 10 jours)  2ème cycle (regain)</t>
  </si>
  <si>
    <t>Foin    Luzerne    Fané au sol &lt; 10 jours)  1er cycle début floraison (20/06)</t>
  </si>
  <si>
    <t>Mes aliments</t>
  </si>
  <si>
    <t>Mon concentré</t>
  </si>
  <si>
    <t>Aliment complet</t>
  </si>
  <si>
    <t>Aliment divers</t>
  </si>
  <si>
    <t>Complémentaire azoté</t>
  </si>
  <si>
    <t xml:space="preserve"> 4 - 21</t>
  </si>
  <si>
    <t xml:space="preserve"> 8 - 16 </t>
  </si>
  <si>
    <t xml:space="preserve"> 10 - 6</t>
  </si>
  <si>
    <t xml:space="preserve"> 8 - 24</t>
  </si>
  <si>
    <t xml:space="preserve"> 6 - 6</t>
  </si>
  <si>
    <t>Carbonate de Ca</t>
  </si>
  <si>
    <t>Tourteau Arachide</t>
  </si>
  <si>
    <t>Graines Coton</t>
  </si>
  <si>
    <t>Graines Colza</t>
  </si>
  <si>
    <t>Tourteau Soja 48</t>
  </si>
  <si>
    <t>Tourteau Tournesol</t>
  </si>
  <si>
    <t>Bicarbonate de Na</t>
  </si>
  <si>
    <t>CMV 0 - 27 (Gravelle)</t>
  </si>
  <si>
    <t>CMV 10 - 20</t>
  </si>
  <si>
    <t>CMV 10 - 6</t>
  </si>
  <si>
    <t>CMV 12 - 12</t>
  </si>
  <si>
    <t>CMV 4 - 21</t>
  </si>
  <si>
    <t>CMV 5 - 20</t>
  </si>
  <si>
    <t>CMV 5 - 25</t>
  </si>
  <si>
    <t>CMV 6 - 6</t>
  </si>
  <si>
    <t>CMV 7 - 21</t>
  </si>
  <si>
    <t xml:space="preserve">CMV 8 - 12 </t>
  </si>
  <si>
    <t xml:space="preserve">CMV 8 - 16 </t>
  </si>
  <si>
    <t>CMV 8 - 24</t>
  </si>
  <si>
    <t>CMV 9 - 14</t>
  </si>
  <si>
    <t>Tourteau Colza 35</t>
  </si>
  <si>
    <t>Tourteau Lin</t>
  </si>
  <si>
    <t xml:space="preserve"> / t</t>
  </si>
  <si>
    <t>tonnes (brut)</t>
  </si>
  <si>
    <t>Matières premières</t>
  </si>
  <si>
    <r>
      <rPr>
        <b/>
        <i/>
        <sz val="20"/>
        <color indexed="60"/>
        <rFont val="Calibri"/>
        <family val="2"/>
      </rPr>
      <t xml:space="preserve">1 </t>
    </r>
    <r>
      <rPr>
        <i/>
        <sz val="11"/>
        <rFont val="Calibri"/>
        <family val="2"/>
      </rPr>
      <t>Cliquez sur les flèches pour choisir le CMV</t>
    </r>
  </si>
  <si>
    <t>g.</t>
  </si>
  <si>
    <t>COUT</t>
  </si>
  <si>
    <t>BILAN</t>
  </si>
  <si>
    <t>RMIC =</t>
  </si>
  <si>
    <t>DEF</t>
  </si>
  <si>
    <t>DERm</t>
  </si>
  <si>
    <t xml:space="preserve"> *</t>
  </si>
  <si>
    <r>
      <t>P</t>
    </r>
    <r>
      <rPr>
        <b/>
        <vertAlign val="subscript"/>
        <sz val="12"/>
        <color indexed="8"/>
        <rFont val="Calibri"/>
        <family val="2"/>
      </rPr>
      <t>abs</t>
    </r>
  </si>
  <si>
    <r>
      <t>Ca</t>
    </r>
    <r>
      <rPr>
        <b/>
        <vertAlign val="subscript"/>
        <sz val="12"/>
        <color indexed="8"/>
        <rFont val="Calibri"/>
        <family val="2"/>
      </rPr>
      <t>abs</t>
    </r>
  </si>
  <si>
    <t>Densité énergétique de la ration minimale</t>
  </si>
  <si>
    <t>Densité énergétique du fourrage</t>
  </si>
  <si>
    <t xml:space="preserve">  PDIN - PDIE</t>
  </si>
  <si>
    <t xml:space="preserve">        UFL</t>
  </si>
  <si>
    <t>Graine de Colza</t>
  </si>
  <si>
    <t>Brebis  70 kg   Allaitante    Double      Semaines + 4 à + 6</t>
  </si>
  <si>
    <t>Brebis  70 kg   Allaitante    Double      Semaines + 7 à + 10</t>
  </si>
  <si>
    <t>Brebis  70 kg   Allaitante    Simple      Semaines + 7 à + 10</t>
  </si>
  <si>
    <t>Brebis  70 kg   Allaitante    Simple      Semaines + 4 à + 6</t>
  </si>
  <si>
    <t>Brebis  50 kg   Allaitante    Double      Semaines + 4 à + 6</t>
  </si>
  <si>
    <t>Brebis  50 kg   Allaitante    Double      Semaines + 7 à + 10</t>
  </si>
  <si>
    <t>Brebis  50 kg   Allaitante    Simple      Semaines + 4 à + 6</t>
  </si>
  <si>
    <t>Brebis  50 kg   Allaitante    Simple      Semaines + 7 à + 10</t>
  </si>
  <si>
    <t>Brebis  60 kg   Allaitante    Double      Semaines + 4 à + 6</t>
  </si>
  <si>
    <t>Brebis  60 kg   Allaitante    Double      Semaines + 7 à + 10</t>
  </si>
  <si>
    <t>Brebis  60 kg   Allaitante    Simple      Semaines + 4 à + 6</t>
  </si>
  <si>
    <t>Brebis  60 kg   Allaitante    Simple      Semaines + 7 à + 10</t>
  </si>
  <si>
    <t>Brebis  80 kg   Allaitante    Double      Semaines + 4 à + 6</t>
  </si>
  <si>
    <t>Brebis  80 kg   Allaitante    Double      Semaines + 7 à + 10</t>
  </si>
  <si>
    <t>Brebis  80 kg   Allaitante    Simple      Semaines + 4 à + 6</t>
  </si>
  <si>
    <t>Brebis  80 kg   Allaitante    Simple      Semaines + 7 à + 10</t>
  </si>
  <si>
    <t>CALCUL DE LA COMPOSITION D'UN MELANGE DE 2 CONCENTRES</t>
  </si>
  <si>
    <t>Brebis  50 kg   Gestante    Double      Semaines - 3 à - 4</t>
  </si>
  <si>
    <t>Brebis  50 kg   Gestante    Inconnu      Semaines - 3 à - 4</t>
  </si>
  <si>
    <t>Brebis  50 kg   Gestante    Simple      Semaines - 3 à - 4</t>
  </si>
  <si>
    <t>Brebis  60 kg   Gestante    Double      Semaines - 3 à - 4</t>
  </si>
  <si>
    <t>Brebis  60 kg   Gestante    Inconnu      Semaines - 3 à - 4</t>
  </si>
  <si>
    <t>Brebis  60 kg   Gestante    Simple      Semaines - 3 à - 4</t>
  </si>
  <si>
    <t>Brebis  70 kg   Gestante    Double      Semaines - 3 à - 4</t>
  </si>
  <si>
    <t>Brebis  70 kg   Gestante    Inconnu      Semaines - 3 à - 4</t>
  </si>
  <si>
    <t>Brebis  70 kg   Gestante    Simple      Semaines - 3 à - 4</t>
  </si>
  <si>
    <t>Brebis  80 kg   Gestante    Double      Semaines - 3 à - 4</t>
  </si>
  <si>
    <t>Brebis  80 kg   Gestante    Inconnu      Semaines - 3 à - 4</t>
  </si>
  <si>
    <t>Brebis  80 kg   Gestante    Simple      Semaines - 3 à - 4</t>
  </si>
  <si>
    <r>
      <t>Les saisies effectuent uniquement dans les cases "</t>
    </r>
    <r>
      <rPr>
        <b/>
        <i/>
        <sz val="11"/>
        <color indexed="9"/>
        <rFont val="Calibri"/>
        <family val="2"/>
      </rPr>
      <t>blanches</t>
    </r>
    <r>
      <rPr>
        <i/>
        <sz val="11"/>
        <color indexed="8"/>
        <rFont val="Calibri"/>
        <family val="2"/>
      </rPr>
      <t>"</t>
    </r>
  </si>
  <si>
    <r>
      <t>Les cases "</t>
    </r>
    <r>
      <rPr>
        <b/>
        <i/>
        <sz val="11"/>
        <color indexed="62"/>
        <rFont val="Calibri"/>
        <family val="2"/>
      </rPr>
      <t>bleues</t>
    </r>
    <r>
      <rPr>
        <i/>
        <sz val="11"/>
        <color indexed="8"/>
        <rFont val="Calibri"/>
        <family val="2"/>
      </rPr>
      <t>" correspondent à des menus déroulants</t>
    </r>
  </si>
  <si>
    <t>Quantités     kg</t>
  </si>
  <si>
    <t>(C12-(H12*H9))/E12)</t>
  </si>
  <si>
    <t>(C14-(C12*E14)/E12)/(H14-((H12*E14)/E12))))</t>
  </si>
  <si>
    <t>SI(E12=0,001;0;SI(C12&lt;=0,1;0;SI(C12="";"";(C12-(H12*H9))/E12)))</t>
  </si>
  <si>
    <t>SI(H12=0,001;0;SI(C14&lt;=0,1;0;SI(C12="";"";(C14-(C12*E14)/E12)/(H14-((H12*E14)/E12)))))</t>
  </si>
  <si>
    <t/>
  </si>
  <si>
    <t xml:space="preserve">QUANTITE DE FOURRAGE </t>
  </si>
  <si>
    <t>Pour 1 tonne de ration complète</t>
  </si>
  <si>
    <r>
      <t>P</t>
    </r>
    <r>
      <rPr>
        <b/>
        <vertAlign val="subscript"/>
        <sz val="14"/>
        <color indexed="8"/>
        <rFont val="Calibri"/>
        <family val="2"/>
      </rPr>
      <t>abs</t>
    </r>
  </si>
  <si>
    <r>
      <t>Ca</t>
    </r>
    <r>
      <rPr>
        <b/>
        <vertAlign val="subscript"/>
        <sz val="14"/>
        <color indexed="8"/>
        <rFont val="Calibri"/>
        <family val="2"/>
      </rPr>
      <t>abs</t>
    </r>
  </si>
  <si>
    <r>
      <rPr>
        <b/>
        <sz val="10"/>
        <color indexed="8"/>
        <rFont val="Calibri"/>
        <family val="2"/>
      </rPr>
      <t>ND</t>
    </r>
    <r>
      <rPr>
        <i/>
        <sz val="10"/>
        <color indexed="8"/>
        <rFont val="Calibri"/>
        <family val="2"/>
      </rPr>
      <t>: non disponible</t>
    </r>
  </si>
  <si>
    <t>Ration de base</t>
  </si>
  <si>
    <t>Pourcentage de concentré</t>
  </si>
  <si>
    <t xml:space="preserve">Commentaires:  . . . . . . .  . . . . . . . . .  . . . .  . . . . . . .  . . . . . . .  . . . . . . .  . . . . . . .  . . . . . . .  . . . . . . .  . . . . . . .  . . . . . . . </t>
  </si>
  <si>
    <t xml:space="preserve"> . . . . . . . . . . . . . . . . . . . . . . . . . . . . . . . . . . . . . . . . . . . . . . . . . . . . . . . . . . . . . . . . . . . . . . . . . . . . . . . . . . . . . . . . . . . . . .</t>
  </si>
  <si>
    <r>
      <t>P</t>
    </r>
    <r>
      <rPr>
        <vertAlign val="subscript"/>
        <sz val="11"/>
        <rFont val="Calibri"/>
        <family val="2"/>
      </rPr>
      <t>abs</t>
    </r>
  </si>
  <si>
    <r>
      <t>Ca</t>
    </r>
    <r>
      <rPr>
        <vertAlign val="subscript"/>
        <sz val="11"/>
        <rFont val="Calibri"/>
        <family val="2"/>
      </rPr>
      <t>abs</t>
    </r>
  </si>
  <si>
    <t>VALEURS ALIMENTAIRES DE VOS ALIMENTS</t>
  </si>
  <si>
    <t>U.E.M..</t>
  </si>
  <si>
    <t>Fourrage 1</t>
  </si>
  <si>
    <t>Fourrage 2</t>
  </si>
  <si>
    <t>Fourrage 3</t>
  </si>
  <si>
    <t>Mon fourrage</t>
  </si>
  <si>
    <t>U.E.M.</t>
  </si>
  <si>
    <t>Coût</t>
  </si>
  <si>
    <t>CONCENTRE</t>
  </si>
  <si>
    <r>
      <t xml:space="preserve">Etablissement d'une </t>
    </r>
    <r>
      <rPr>
        <b/>
        <sz val="11"/>
        <color theme="1"/>
        <rFont val="Calibri"/>
        <family val="2"/>
        <scheme val="minor"/>
      </rPr>
      <t>ration</t>
    </r>
  </si>
  <si>
    <t>COUT € / kg</t>
  </si>
  <si>
    <t>AGNEAUX</t>
  </si>
  <si>
    <t>CHOIX DU CONCENTRE</t>
  </si>
  <si>
    <t>Poids</t>
  </si>
  <si>
    <t>BESIONS ALIMENTAIRES</t>
  </si>
  <si>
    <t>U.F.V.</t>
  </si>
  <si>
    <t>GMQ</t>
  </si>
  <si>
    <t>150 g</t>
  </si>
  <si>
    <t>Viande</t>
  </si>
  <si>
    <t>15 kg</t>
  </si>
  <si>
    <t>Mâle/Femelle</t>
  </si>
  <si>
    <t>200 g</t>
  </si>
  <si>
    <t>Rustique</t>
  </si>
  <si>
    <t>20 kg</t>
  </si>
  <si>
    <t>250 g</t>
  </si>
  <si>
    <t>Laitière</t>
  </si>
  <si>
    <t>25 kg</t>
  </si>
  <si>
    <t>300 g</t>
  </si>
  <si>
    <t>Croisée</t>
  </si>
  <si>
    <t>30 kg</t>
  </si>
  <si>
    <t>Viande/Rustique</t>
  </si>
  <si>
    <t>350 g</t>
  </si>
  <si>
    <t>35 kg</t>
  </si>
  <si>
    <t>400 g</t>
  </si>
  <si>
    <t>40 kg</t>
  </si>
  <si>
    <t>450 g</t>
  </si>
  <si>
    <t>UFV / kg</t>
  </si>
  <si>
    <t>Potentiel</t>
  </si>
  <si>
    <t>sexe</t>
  </si>
  <si>
    <t>Elevé</t>
  </si>
  <si>
    <t>femelle</t>
  </si>
  <si>
    <t>femelle de race à viande                                                                                               poids 15 kg  -  GMQ   150 g</t>
  </si>
  <si>
    <t>femelle de race à viande                                                                                               poids 15 kg  -  GMQ   200 g</t>
  </si>
  <si>
    <t>femelle de race à viande                                                                                               poids 15 kg  -  GMQ   250 g</t>
  </si>
  <si>
    <t>femelle de race à viande                                                                                               poids 15 kg  -  GMQ   300 g</t>
  </si>
  <si>
    <t>femelle de race à viande                                                                                               poids 15 kg  -  GMQ   350 g</t>
  </si>
  <si>
    <t>femelle de race à viande                                                                                               poids 15 kg  -  GMQ   400 g</t>
  </si>
  <si>
    <t>femelle de race à viande                                                                                               poids 15 kg  -  GMQ   450 g</t>
  </si>
  <si>
    <t>femelle de race à viande                                                                                               poids 20 kg  -  GMQ   150 g</t>
  </si>
  <si>
    <t>femelle de race à viande                                                                                               poids 20 kg  -  GMQ   200 g</t>
  </si>
  <si>
    <t>femelle de race à viande                                                                                               poids 20 kg  -  GMQ   250 g</t>
  </si>
  <si>
    <t>femelle de race à viande                                                                                               poids 20 kg  -  GMQ   300 g</t>
  </si>
  <si>
    <t>femelle de race à viande                                                                                               poids 20 kg  -  GMQ   350 g</t>
  </si>
  <si>
    <t>femelle de race à viande                                                                                               poids 20 kg  -  GMQ   400 g</t>
  </si>
  <si>
    <t>femelle de race à viande                                                                                               poids 20 kg  -  GMQ   450 g</t>
  </si>
  <si>
    <t>femelle de race à viande                                                                                               poids 25 kg  -  GMQ   150 g</t>
  </si>
  <si>
    <t>femelle de race à viande                                                                                               poids 25 kg  -  GMQ   200 g</t>
  </si>
  <si>
    <t>femelle de race à viande                                                                                               poids 25 kg  -  GMQ   250 g</t>
  </si>
  <si>
    <t>femelle de race à viande                                                                                               poids 25 kg  -  GMQ   300 g</t>
  </si>
  <si>
    <t>femelle de race à viande                                                                                               poids 25 kg  -  GMQ   350 g</t>
  </si>
  <si>
    <t>femelle de race à viande                                                                                               poids 25 kg  -  GMQ   400 g</t>
  </si>
  <si>
    <t>femelle de race à viande                                                                                               poids 25 kg  -  GMQ   450 g</t>
  </si>
  <si>
    <t>femelle de race à viande                                                                                               poids 30 kg  -  GMQ   150 g</t>
  </si>
  <si>
    <t>femelle de race à viande                                                                                               poids 30 kg  -  GMQ   200 g</t>
  </si>
  <si>
    <t>femelle de race à viande                                                                                               poids 30 kg  -  GMQ   250 g</t>
  </si>
  <si>
    <t>femelle de race à viande                                                                                               poids 30 kg  -  GMQ   300 g</t>
  </si>
  <si>
    <t>femelle de race à viande                                                                                               poids 30 kg  -  GMQ   350 g</t>
  </si>
  <si>
    <t>femelle de race à viande                                                                                               poids 30 kg  -  GMQ   400 g</t>
  </si>
  <si>
    <t>femelle de race à viande                                                                                               poids 30 kg  -  GMQ   450 g</t>
  </si>
  <si>
    <t>femelle de race à viande                                                                                               poids 35 kg  -  GMQ   150 g</t>
  </si>
  <si>
    <t>femelle de race à viande                                                                                               poids 35 kg  -  GMQ   200 g</t>
  </si>
  <si>
    <t>femelle de race à viande                                                                                               poids 35 kg  -  GMQ   250 g</t>
  </si>
  <si>
    <t>femelle de race à viande                                                                                               poids 35 kg  -  GMQ   300 g</t>
  </si>
  <si>
    <t>femelle de race à viande                                                                                               poids 35 kg  -  GMQ   350 g</t>
  </si>
  <si>
    <t>femelle de race à viande                                                                                               poids 35 kg  -  GMQ   400 g</t>
  </si>
  <si>
    <t>femelle de race à viande                                                                                               poids 35 kg  -  GMQ   450 g</t>
  </si>
  <si>
    <t>femelle de race à viande                                                                                               poids 40 kg  -  GMQ   150 g</t>
  </si>
  <si>
    <t>femelle de race à viande                                                                                               poids 40 kg  -  GMQ   200 g</t>
  </si>
  <si>
    <t>femelle de race à viande                                                                                               poids 40 kg  -  GMQ   250 g</t>
  </si>
  <si>
    <t>femelle de race à viande                                                                                               poids 40 kg  -  GMQ   300 g</t>
  </si>
  <si>
    <t>femelle de race à viande                                                                                               poids 40 kg  -  GMQ   350 g</t>
  </si>
  <si>
    <t>femelle de race à viande                                                                                               poids 40 kg  -  GMQ   400 g</t>
  </si>
  <si>
    <t>femelle de race à viande                                                                                               poids 40 kg  -  GMQ   450 g</t>
  </si>
  <si>
    <t>Modéré</t>
  </si>
  <si>
    <t>femelle de race rustique ou croisée                                                                                               poids 15 kg  -  GMQ   150 g</t>
  </si>
  <si>
    <t>femelle de race rustique ou croisée                                                                                               poids 15 kg  -  GMQ   200 g</t>
  </si>
  <si>
    <t>femelle de race rustique ou croisée                                                                                               poids 15 kg  -  GMQ   250 g</t>
  </si>
  <si>
    <t>femelle de race rustique ou croisée                                                                                               poids 15 kg  -  GMQ   300 g</t>
  </si>
  <si>
    <t>femelle de race rustique ou croisée                                                                                               poids 15 kg  -  GMQ   350 g</t>
  </si>
  <si>
    <t>femelle de race rustique ou croisée                                                                                               poids 15 kg  -  GMQ   400 g</t>
  </si>
  <si>
    <t>femelle de race rustique ou croisée                                                                                               poids 15 kg  -  GMQ   450 g</t>
  </si>
  <si>
    <t>femelle de race rustique ou croisée                                                                                               poids 20 kg  -  GMQ   150 g</t>
  </si>
  <si>
    <t>femelle de race rustique ou croisée                                                                                               poids 20 kg  -  GMQ   200 g</t>
  </si>
  <si>
    <t>femelle de race rustique ou croisée                                                                                               poids 20 kg  -  GMQ   250 g</t>
  </si>
  <si>
    <t>femelle de race rustique ou croisée                                                                                               poids 20 kg  -  GMQ   300 g</t>
  </si>
  <si>
    <t>femelle de race rustique ou croisée                                                                                               poids 20 kg  -  GMQ   350 g</t>
  </si>
  <si>
    <t>femelle de race rustique ou croisée                                                                                               poids 20 kg  -  GMQ   400 g</t>
  </si>
  <si>
    <t>femelle de race rustique ou croisée                                                                                               poids 20 kg  -  GMQ   450 g</t>
  </si>
  <si>
    <t>femelle de race rustique ou croisée                                                                                               poids 25 kg  -  GMQ   150 g</t>
  </si>
  <si>
    <t>femelle de race rustique ou croisée                                                                                               poids 25 kg  -  GMQ   200 g</t>
  </si>
  <si>
    <t>femelle de race rustique ou croisée                                                                                               poids 25 kg  -  GMQ   250 g</t>
  </si>
  <si>
    <t>femelle de race rustique ou croisée                                                                                               poids 25 kg  -  GMQ   300 g</t>
  </si>
  <si>
    <t>femelle de race rustique ou croisée                                                                                               poids 25 kg  -  GMQ   350 g</t>
  </si>
  <si>
    <t>femelle de race rustique ou croisée                                                                                               poids 25 kg  -  GMQ   400 g</t>
  </si>
  <si>
    <t>femelle de race rustique ou croisée                                                                                               poids 25 kg  -  GMQ   450 g</t>
  </si>
  <si>
    <t>femelle de race rustique ou croisée                                                                                               poids 30 kg  -  GMQ   150 g</t>
  </si>
  <si>
    <t>femelle de race rustique ou croisée                                                                                               poids 30 kg  -  GMQ   200 g</t>
  </si>
  <si>
    <t>femelle de race rustique ou croisée                                                                                               poids 30 kg  -  GMQ   250 g</t>
  </si>
  <si>
    <t>femelle de race rustique ou croisée                                                                                               poids 30 kg  -  GMQ   300 g</t>
  </si>
  <si>
    <t>femelle de race rustique ou croisée                                                                                               poids 30 kg  -  GMQ   350 g</t>
  </si>
  <si>
    <t>femelle de race rustique ou croisée                                                                                               poids 30 kg  -  GMQ   400 g</t>
  </si>
  <si>
    <t>femelle de race rustique ou croisée                                                                                               poids 30 kg  -  GMQ   450 g</t>
  </si>
  <si>
    <t>femelle de race rustique ou croisée                                                                                               poids 35 kg  -  GMQ   150 g</t>
  </si>
  <si>
    <t>femelle de race rustique ou croisée                                                                                               poids 35 kg  -  GMQ   200 g</t>
  </si>
  <si>
    <t>femelle de race rustique ou croisée                                                                                               poids 35 kg  -  GMQ   250 g</t>
  </si>
  <si>
    <t>femelle de race rustique ou croisée                                                                                               poids 35 kg  -  GMQ   300 g</t>
  </si>
  <si>
    <t>femelle de race rustique ou croisée                                                                                               poids 35 kg  -  GMQ   350 g</t>
  </si>
  <si>
    <t>femelle de race rustique ou croisée                                                                                               poids 35 kg  -  GMQ   400 g</t>
  </si>
  <si>
    <t>femelle de race rustique ou croisée                                                                                               poids 35 kg  -  GMQ   450 g</t>
  </si>
  <si>
    <t>femelle de race rustique ou croisée                                                                                               poids 40 kg  -  GMQ   150 g</t>
  </si>
  <si>
    <t>femelle de race rustique ou croisée                                                                                               poids 40 kg  -  GMQ   200 g</t>
  </si>
  <si>
    <t>femelle de race rustique ou croisée                                                                                               poids 40 kg  -  GMQ   250 g</t>
  </si>
  <si>
    <t>femelle de race rustique ou croisée                                                                                               poids 40 kg  -  GMQ   300 g</t>
  </si>
  <si>
    <t>femelle de race rustique ou croisée                                                                                               poids 40 kg  -  GMQ   350 g</t>
  </si>
  <si>
    <t>femelle de race rustique ou croisée                                                                                               poids 40 kg  -  GMQ   400 g</t>
  </si>
  <si>
    <t>femelle de race rustique ou croisée                                                                                               poids 40 kg  -  GMQ   450 g</t>
  </si>
  <si>
    <t>mâle</t>
  </si>
  <si>
    <t>mâle de race à viande                                                                                               poids 15 kg  -  GMQ   150 g</t>
  </si>
  <si>
    <t>mâle de race à viande                                                                                               poids 15 kg  -  GMQ   200 g</t>
  </si>
  <si>
    <t>mâle de race à viande                                                                                               poids 15 kg  -  GMQ   250 g</t>
  </si>
  <si>
    <t>mâle de race à viande                                                                                               poids 15 kg  -  GMQ   300 g</t>
  </si>
  <si>
    <t>mâle de race à viande                                                                                               poids 15 kg  -  GMQ   350 g</t>
  </si>
  <si>
    <t>mâle de race à viande                                                                                               poids 15 kg  -  GMQ   400 g</t>
  </si>
  <si>
    <t>mâle de race à viande                                                                                               poids 15 kg  -  GMQ   450 g</t>
  </si>
  <si>
    <t>mâle de race à viande                                                                                               poids 20 kg  -  GMQ   150 g</t>
  </si>
  <si>
    <t>mâle de race à viande                                                                                               poids 20 kg  -  GMQ   200 g</t>
  </si>
  <si>
    <t>mâle de race à viande                                                                                               poids 20 kg  -  GMQ   250 g</t>
  </si>
  <si>
    <t>mâle de race à viande                                                                                               poids 20 kg  -  GMQ   300 g</t>
  </si>
  <si>
    <t>mâle de race à viande                                                                                               poids 20 kg  -  GMQ   350 g</t>
  </si>
  <si>
    <t>mâle de race à viande                                                                                               poids 20 kg  -  GMQ   400 g</t>
  </si>
  <si>
    <t>mâle de race à viande                                                                                               poids 20 kg  -  GMQ   450 g</t>
  </si>
  <si>
    <t>mâle de race à viande                                                                                               poids 25 kg  -  GMQ   150 g</t>
  </si>
  <si>
    <t>mâle de race à viande                                                                                               poids 25 kg  -  GMQ   200 g</t>
  </si>
  <si>
    <t>mâle de race à viande                                                                                               poids 25 kg  -  GMQ   250 g</t>
  </si>
  <si>
    <t>mâle de race à viande                                                                                               poids 25 kg  -  GMQ   300 g</t>
  </si>
  <si>
    <t>mâle de race à viande                                                                                               poids 25 kg  -  GMQ   350 g</t>
  </si>
  <si>
    <t>mâle de race à viande                                                                                               poids 25 kg  -  GMQ   400 g</t>
  </si>
  <si>
    <t>mâle de race à viande                                                                                               poids 25 kg  -  GMQ   450 g</t>
  </si>
  <si>
    <t>mâle de race à viande                                                                                               poids 30 kg  -  GMQ   150 g</t>
  </si>
  <si>
    <t>mâle de race à viande                                                                                               poids 30 kg  -  GMQ   200 g</t>
  </si>
  <si>
    <t>mâle de race à viande                                                                                               poids 30 kg  -  GMQ   250 g</t>
  </si>
  <si>
    <t>mâle de race à viande                                                                                               poids 30 kg  -  GMQ   300 g</t>
  </si>
  <si>
    <t>mâle de race à viande                                                                                               poids 30 kg  -  GMQ   350 g</t>
  </si>
  <si>
    <t>mâle de race à viande                                                                                               poids 30 kg  -  GMQ   400 g</t>
  </si>
  <si>
    <t>mâle de race à viande                                                                                               poids 30 kg  -  GMQ   450 g</t>
  </si>
  <si>
    <t>mâle de race à viande                                                                                               poids 35 kg  -  GMQ   150 g</t>
  </si>
  <si>
    <t>mâle de race à viande                                                                                               poids 35 kg  -  GMQ   200 g</t>
  </si>
  <si>
    <t>mâle de race à viande                                                                                               poids 35 kg  -  GMQ   250 g</t>
  </si>
  <si>
    <t>mâle de race à viande                                                                                               poids 35 kg  -  GMQ   300 g</t>
  </si>
  <si>
    <t>mâle de race à viande                                                                                               poids 35 kg  -  GMQ   350 g</t>
  </si>
  <si>
    <t>mâle de race à viande                                                                                               poids 35 kg  -  GMQ   400 g</t>
  </si>
  <si>
    <t>mâle de race à viande                                                                                               poids 35 kg  -  GMQ   450 g</t>
  </si>
  <si>
    <t>mâle de race à viande                                                                                               poids 40 kg  -  GMQ   150 g</t>
  </si>
  <si>
    <t>mâle de race à viande                                                                                               poids 40 kg  -  GMQ   200 g</t>
  </si>
  <si>
    <t>mâle de race à viande                                                                                               poids 40 kg  -  GMQ   250 g</t>
  </si>
  <si>
    <t>mâle de race à viande                                                                                               poids 40 kg  -  GMQ   300 g</t>
  </si>
  <si>
    <t>mâle de race à viande                                                                                               poids 40 kg  -  GMQ   350 g</t>
  </si>
  <si>
    <t>mâle de race à viande                                                                                               poids 40 kg  -  GMQ   400 g</t>
  </si>
  <si>
    <t>mâle de race à viande                                                                                               poids 40 kg  -  GMQ   450 g</t>
  </si>
  <si>
    <t>mâle de race rustique ou croisée                                                                                               poids 15 kg  -  GMQ   150 g</t>
  </si>
  <si>
    <t>mâle de race rustique ou croisée                                                                                               poids 15 kg  -  GMQ   200 g</t>
  </si>
  <si>
    <t>mâle de race rustique ou croisée                                                                                               poids 15 kg  -  GMQ   250 g</t>
  </si>
  <si>
    <t>mâle de race rustique ou croisée                                                                                               poids 15 kg  -  GMQ   300 g</t>
  </si>
  <si>
    <t>mâle de race rustique ou croisée                                                                                               poids 15 kg  -  GMQ   350 g</t>
  </si>
  <si>
    <t>mâle de race rustique ou croisée                                                                                               poids 15 kg  -  GMQ   400 g</t>
  </si>
  <si>
    <t>mâle de race rustique ou croisée                                                                                               poids 15 kg  -  GMQ   450 g</t>
  </si>
  <si>
    <t>mâle de race rustique ou croisée                                                                                               poids 20 kg  -  GMQ   150 g</t>
  </si>
  <si>
    <t>mâle de race rustique ou croisée                                                                                               poids 20 kg  -  GMQ   200 g</t>
  </si>
  <si>
    <t>mâle de race rustique ou croisée                                                                                               poids 20 kg  -  GMQ   250 g</t>
  </si>
  <si>
    <t>mâle de race rustique ou croisée                                                                                               poids 20 kg  -  GMQ   300 g</t>
  </si>
  <si>
    <t>mâle de race rustique ou croisée                                                                                               poids 20 kg  -  GMQ   350 g</t>
  </si>
  <si>
    <t>mâle de race rustique ou croisée                                                                                               poids 20 kg  -  GMQ   400 g</t>
  </si>
  <si>
    <t>mâle de race rustique ou croisée                                                                                               poids 20 kg  -  GMQ   450 g</t>
  </si>
  <si>
    <t>mâle de race rustique ou croisée                                                                                               poids 25 kg  -  GMQ   150 g</t>
  </si>
  <si>
    <t>mâle de race rustique ou croisée                                                                                               poids 25 kg  -  GMQ   200 g</t>
  </si>
  <si>
    <t>mâle de race rustique ou croisée                                                                                               poids 25 kg  -  GMQ   250 g</t>
  </si>
  <si>
    <t>mâle de race rustique ou croisée                                                                                               poids 25 kg  -  GMQ   300 g</t>
  </si>
  <si>
    <t>mâle de race rustique ou croisée                                                                                               poids 25 kg  -  GMQ   350 g</t>
  </si>
  <si>
    <t>mâle de race rustique ou croisée                                                                                               poids 25 kg  -  GMQ   400 g</t>
  </si>
  <si>
    <t>mâle de race rustique ou croisée                                                                                               poids 25 kg  -  GMQ   450 g</t>
  </si>
  <si>
    <t>mâle de race rustique ou croisée                                                                                               poids 30 kg  -  GMQ   150 g</t>
  </si>
  <si>
    <t>mâle de race rustique ou croisée                                                                                               poids 30 kg  -  GMQ   200 g</t>
  </si>
  <si>
    <t>mâle de race rustique ou croisée                                                                                               poids 30 kg  -  GMQ   250 g</t>
  </si>
  <si>
    <t>mâle de race rustique ou croisée                                                                                               poids 30 kg  -  GMQ   300 g</t>
  </si>
  <si>
    <t>mâle de race rustique ou croisée                                                                                               poids 30 kg  -  GMQ   350 g</t>
  </si>
  <si>
    <t>mâle de race rustique ou croisée                                                                                               poids 30 kg  -  GMQ   400 g</t>
  </si>
  <si>
    <t>mâle de race rustique ou croisée                                                                                               poids 30 kg  -  GMQ   450 g</t>
  </si>
  <si>
    <t>mâle de race rustique ou croisée                                                                                               poids 35 kg  -  GMQ   150 g</t>
  </si>
  <si>
    <t>mâle de race rustique ou croisée                                                                                               poids 35 kg  -  GMQ   200 g</t>
  </si>
  <si>
    <t>mâle de race rustique ou croisée                                                                                               poids 35 kg  -  GMQ   250 g</t>
  </si>
  <si>
    <t>mâle de race rustique ou croisée                                                                                               poids 35 kg  -  GMQ   300 g</t>
  </si>
  <si>
    <t>mâle de race rustique ou croisée                                                                                               poids 35 kg  -  GMQ   350 g</t>
  </si>
  <si>
    <t>mâle de race rustique ou croisée                                                                                               poids 35 kg  -  GMQ   400 g</t>
  </si>
  <si>
    <t>mâle de race rustique ou croisée                                                                                               poids 35 kg  -  GMQ   450 g</t>
  </si>
  <si>
    <t>mâle de race rustique ou croisée                                                                                               poids 40 kg  -  GMQ   150 g</t>
  </si>
  <si>
    <t>mâle de race rustique ou croisée                                                                                               poids 40 kg  -  GMQ   200 g</t>
  </si>
  <si>
    <t>mâle de race rustique ou croisée                                                                                               poids 40 kg  -  GMQ   250 g</t>
  </si>
  <si>
    <t>mâle de race rustique ou croisée                                                                                               poids 40 kg  -  GMQ   300 g</t>
  </si>
  <si>
    <t>mâle de race rustique ou croisée                                                                                               poids 40 kg  -  GMQ   350 g</t>
  </si>
  <si>
    <t>mâle de race rustique ou croisée                                                                                               poids 40 kg  -  GMQ   400 g</t>
  </si>
  <si>
    <t>mâle de race rustique ou croisée                                                                                               poids 40 kg  -  GMQ   450 g</t>
  </si>
  <si>
    <t>faites varier la teneur avec les flèches</t>
  </si>
  <si>
    <r>
      <t xml:space="preserve">Valeur </t>
    </r>
    <r>
      <rPr>
        <b/>
        <i/>
        <sz val="12"/>
        <color theme="1"/>
        <rFont val="Calibri"/>
        <family val="2"/>
        <scheme val="minor"/>
      </rPr>
      <t xml:space="preserve">U.F.V.                </t>
    </r>
    <r>
      <rPr>
        <b/>
        <sz val="12"/>
        <color theme="1"/>
        <rFont val="Calibri"/>
        <family val="2"/>
        <scheme val="minor"/>
      </rPr>
      <t>de l'aliment</t>
    </r>
  </si>
  <si>
    <t>Quantités nécessaires</t>
  </si>
  <si>
    <r>
      <t>Besoins des</t>
    </r>
    <r>
      <rPr>
        <b/>
        <i/>
        <sz val="11"/>
        <color theme="1"/>
        <rFont val="Calibri"/>
        <family val="2"/>
        <scheme val="minor"/>
      </rPr>
      <t xml:space="preserve"> agneaux</t>
    </r>
    <r>
      <rPr>
        <i/>
        <sz val="11"/>
        <color theme="1"/>
        <rFont val="Calibri"/>
        <family val="2"/>
        <scheme val="minor"/>
      </rPr>
      <t xml:space="preserve"> à l'engrais</t>
    </r>
  </si>
  <si>
    <t>Nombre d'agneaux</t>
  </si>
  <si>
    <t>Cout /jour</t>
  </si>
  <si>
    <t>COMPOSITION DE L'ALIMENT</t>
  </si>
  <si>
    <t xml:space="preserve"> / kg brut</t>
  </si>
  <si>
    <t>Mon fourrage    N°2</t>
  </si>
  <si>
    <t>Mon fourrage    N°1</t>
  </si>
  <si>
    <t>Mon fourrage    N°3</t>
  </si>
  <si>
    <t>Surface de la parcelle</t>
  </si>
  <si>
    <t>ha</t>
  </si>
  <si>
    <t>cm</t>
  </si>
  <si>
    <t>Nombre de femelles</t>
  </si>
  <si>
    <t>Besoin d'herbe quotidien</t>
  </si>
  <si>
    <t>kg MS</t>
  </si>
  <si>
    <t>Quantité disponible</t>
  </si>
  <si>
    <t>Brebis vide</t>
  </si>
  <si>
    <t>Brebis gestante</t>
  </si>
  <si>
    <t>Brebis allaitante</t>
  </si>
  <si>
    <t>Densité</t>
  </si>
  <si>
    <t>Besoins</t>
  </si>
  <si>
    <t xml:space="preserve">kg MS </t>
  </si>
  <si>
    <t>PATURAGE</t>
  </si>
  <si>
    <t>Ration</t>
  </si>
  <si>
    <t>Agneau</t>
  </si>
  <si>
    <t>Pâturage</t>
  </si>
  <si>
    <t>fabrice.ranoux@educagri.fr</t>
  </si>
  <si>
    <t>pousse</t>
  </si>
  <si>
    <t>Faible (Eté)</t>
  </si>
  <si>
    <t>Moyenne (Automne)</t>
  </si>
  <si>
    <t>Forte (Printemps)</t>
  </si>
  <si>
    <t>* Hauteur d'herbe mesurée avec l'herbomètre             ** Estimation de la pousse de l'herbe en fonction de la saison</t>
  </si>
  <si>
    <t xml:space="preserve">Nombre de jours de pâturage d'avance  </t>
  </si>
  <si>
    <t>Nulle (Hiver - Sécheresse)</t>
  </si>
  <si>
    <t>jours</t>
  </si>
  <si>
    <t>Quantité totale d'aliment à prévoir</t>
  </si>
  <si>
    <t xml:space="preserve"> Aliment  / jour</t>
  </si>
  <si>
    <t>QUANTITES D'ALIMENTS ET COUTS</t>
  </si>
  <si>
    <r>
      <t xml:space="preserve">DUREE D'ENGRAISSEMENT    </t>
    </r>
    <r>
      <rPr>
        <i/>
        <sz val="18"/>
        <color theme="1"/>
        <rFont val="Calibri"/>
        <family val="2"/>
        <scheme val="minor"/>
      </rPr>
      <t xml:space="preserve"> </t>
    </r>
    <r>
      <rPr>
        <i/>
        <sz val="16"/>
        <color theme="1"/>
        <rFont val="Calibri"/>
        <family val="2"/>
        <scheme val="minor"/>
      </rPr>
      <t>(jours restants jusqu'à 40 kg)</t>
    </r>
  </si>
  <si>
    <t xml:space="preserve">Bélier  50 kg   Entretien          </t>
  </si>
  <si>
    <t xml:space="preserve">Bélier  50 kg   Flushing          </t>
  </si>
  <si>
    <t xml:space="preserve">Bélier  50 kg   Croissance          </t>
  </si>
  <si>
    <t xml:space="preserve">Bélier  60 kg   Entretien          </t>
  </si>
  <si>
    <t xml:space="preserve">Bélier  60 kg   Flushing          </t>
  </si>
  <si>
    <t xml:space="preserve">Bélier  60 kg   Croissance          </t>
  </si>
  <si>
    <t>Pousse de                              l'herbe **</t>
  </si>
  <si>
    <t>Brebis  90 kg   Allaitante    Double      Semaines + 4 à + 6</t>
  </si>
  <si>
    <t>Brebis  90 kg   Allaitante    Double      Semaines + 7 à + 10</t>
  </si>
  <si>
    <t xml:space="preserve">Brebis  90 kg   Allaitante    Double      Semaines 0 à + 3 </t>
  </si>
  <si>
    <t>Brebis  90 kg   Allaitante    Simple      Semaines + 4 à + 6</t>
  </si>
  <si>
    <t>Brebis  90 kg   Allaitante    Simple      Semaines + 7 à + 10</t>
  </si>
  <si>
    <t xml:space="preserve">Brebis  90 kg   Allaitante    Simple      Semaines 0 à + 3 </t>
  </si>
  <si>
    <t>Brebis  90 kg   Gestante    Double      Semaines - 2 à 0</t>
  </si>
  <si>
    <t>Brebis  90 kg   Gestante    Double      Semaines - 3 à - 4</t>
  </si>
  <si>
    <t>Brebis  90 kg   Gestante    Double      Semaines - 5 à - 6</t>
  </si>
  <si>
    <t>Brebis  90 kg   Gestante    Inconnu      Semaines - 2 à 0</t>
  </si>
  <si>
    <t>Brebis  90 kg   Gestante    Inconnu      Semaines - 3 à - 4</t>
  </si>
  <si>
    <t>Brebis  90 kg   Gestante    Inconnu      Semaines - 5 à - 6</t>
  </si>
  <si>
    <t>Brebis  90 kg   Gestante    Simple      Semaines - 2 à 0</t>
  </si>
  <si>
    <t>Brebis  90 kg   Gestante    Simple      Semaines - 3 à - 4</t>
  </si>
  <si>
    <t>Brebis  90 kg   Gestante    Simple      Semaines - 5 à - 6</t>
  </si>
  <si>
    <t>Brebis  90 kg   Vide    Bon Etat (&gt; 3,5)      Avec prise de poids + 150 g/j</t>
  </si>
  <si>
    <t>Brebis  90 kg   Vide    Bon Etat (&gt; 3,5)      flushing + 100 g/j</t>
  </si>
  <si>
    <t>Brebis  90 kg   Vide    Bon Etat (&gt; 3,5)      Sans prise de poids - Entretien</t>
  </si>
  <si>
    <t>Brebis  90 kg   Vide    Etat Moyen (2,5 - 3,5)      Avec prise de poids + 150 g/j</t>
  </si>
  <si>
    <t>Brebis  90 kg   Vide    Etat Moyen (2,5 - 3,5)      flushing + 100 g/j</t>
  </si>
  <si>
    <t>Brebis  90 kg   Vide    Etat Moyen (2,5 - 3,5)      Sans prise de poids - Entretien</t>
  </si>
  <si>
    <t>Brebis  90 kg   Vide    Mauvais Etat (&lt; 2,5)      Avec prise de poids + 150 g/j</t>
  </si>
  <si>
    <t>Brebis  90 kg   Vide    Mauvais Etat (&lt; 2,5)      flushing + 100 g/j</t>
  </si>
  <si>
    <t>Brebis  90 kg   Vide    Mauvais Etat (&lt; 2,5)      Sans prise de poids - Entretien</t>
  </si>
  <si>
    <r>
      <t>Déficit P</t>
    </r>
    <r>
      <rPr>
        <i/>
        <vertAlign val="subscript"/>
        <sz val="12"/>
        <color theme="1"/>
        <rFont val="Calibri"/>
        <family val="2"/>
        <scheme val="minor"/>
      </rPr>
      <t>abs</t>
    </r>
  </si>
  <si>
    <r>
      <t>Déficit Ca</t>
    </r>
    <r>
      <rPr>
        <i/>
        <vertAlign val="subscript"/>
        <sz val="12"/>
        <color theme="1"/>
        <rFont val="Calibri"/>
        <family val="2"/>
        <scheme val="minor"/>
      </rPr>
      <t>abs</t>
    </r>
  </si>
  <si>
    <t>Brebis  100 kg   Allaitante    Double      Semaines + 4 à + 6</t>
  </si>
  <si>
    <t>Brebis  100 kg   Allaitante    Double      Semaines + 7 à + 10</t>
  </si>
  <si>
    <t xml:space="preserve">Brebis  100 kg   Allaitante    Double      Semaines 0 à + 3 </t>
  </si>
  <si>
    <t>Brebis  100 kg   Allaitante    Simple      Semaines + 4 à + 6</t>
  </si>
  <si>
    <t>Brebis  100 kg   Allaitante    Simple      Semaines + 7 à + 10</t>
  </si>
  <si>
    <t xml:space="preserve">Brebis  100 kg   Allaitante    Simple      Semaines 0 à + 3 </t>
  </si>
  <si>
    <t>Brebis  100 kg   Gestante    Double      Semaines - 2 à 0</t>
  </si>
  <si>
    <t>Brebis  100 kg   Gestante    Double      Semaines - 3 à - 4</t>
  </si>
  <si>
    <t>Brebis  100 kg   Gestante    Double      Semaines - 5 à - 6</t>
  </si>
  <si>
    <t>Brebis  100 kg   Gestante    Inconnu      Semaines - 2 à 0</t>
  </si>
  <si>
    <t>Brebis  100 kg   Gestante    Inconnu      Semaines - 3 à - 4</t>
  </si>
  <si>
    <t>Brebis  100 kg   Gestante    Inconnu      Semaines - 5 à - 6</t>
  </si>
  <si>
    <t>Brebis  100 kg   Gestante    Simple      Semaines - 2 à 0</t>
  </si>
  <si>
    <t>Brebis  100 kg   Gestante    Simple      Semaines - 3 à - 4</t>
  </si>
  <si>
    <t>Brebis  100 kg   Gestante    Simple      Semaines - 5 à - 6</t>
  </si>
  <si>
    <t>Brebis  100 kg   Vide    Bon Etat (&gt; 3,5)      Avec prise de poids + 150 g/j</t>
  </si>
  <si>
    <t>Brebis  100 kg   Vide    Bon Etat (&gt; 3,5)      Sans prise de poids - Entretien</t>
  </si>
  <si>
    <t>Brebis  100 kg   Vide    Bon Etat (&gt; 3,5)      flushing + 100 g/j</t>
  </si>
  <si>
    <t>Brebis  100 kg   Vide    Etat Moyen (2,5 - 3,5)      Avec prise de poids + 150 g/j</t>
  </si>
  <si>
    <t>Brebis  100 kg   Vide    Etat Moyen (2,5 - 3,5)      flushing + 100 g/j</t>
  </si>
  <si>
    <t>Brebis  100 kg   Vide    Etat Moyen (2,5 - 3,5)      Sans prise de poids - Entretien</t>
  </si>
  <si>
    <t>Brebis  100 kg   Vide    Mauvais Etat (&lt; 2,5)      Avec prise de poids + 150 g/j</t>
  </si>
  <si>
    <t>Brebis  100 kg   Vide    Mauvais Etat (&lt; 2,5)      flushing + 100 g/j</t>
  </si>
  <si>
    <t>Brebis  100 kg   Vide    Mauvais Etat (&lt; 2,5)      Sans prise de poids - Entretien</t>
  </si>
  <si>
    <t>Brebis traite</t>
  </si>
  <si>
    <t xml:space="preserve">Brebis traite  70 kg   0,5 l/jour          </t>
  </si>
  <si>
    <t xml:space="preserve">Brebis traite  70 kg   1,0 l/jour          </t>
  </si>
  <si>
    <t xml:space="preserve">Brebis traite  70 kg   1,5 l/jour          </t>
  </si>
  <si>
    <t xml:space="preserve">Brebis traite  70 kg   2,0 l/jour          </t>
  </si>
  <si>
    <t xml:space="preserve">Brebis traite  70 kg   2,5 l/jour          </t>
  </si>
  <si>
    <t xml:space="preserve">Brebis traite  70 kg   3,0 l/jour          </t>
  </si>
  <si>
    <t xml:space="preserve">Brebis traite  50 kg   0,5 l/jour          </t>
  </si>
  <si>
    <t xml:space="preserve">Brebis traite  50 kg   1,0 l/jour          </t>
  </si>
  <si>
    <t xml:space="preserve">Brebis traite  50 kg   1,5 l/jour          </t>
  </si>
  <si>
    <t xml:space="preserve">Brebis traite  50 kg   2,0 l/jour          </t>
  </si>
  <si>
    <t xml:space="preserve">Brebis traite  50 kg   2,5 l/jour          </t>
  </si>
  <si>
    <t xml:space="preserve">Brebis traite  50 kg   3,0 l/jour          </t>
  </si>
  <si>
    <t xml:space="preserve">Brebis traite  60 kg   0,5 l/jour          </t>
  </si>
  <si>
    <t xml:space="preserve">Brebis traite  60 kg   1,0 l/jour          </t>
  </si>
  <si>
    <t xml:space="preserve">Brebis traite  60 kg   1,5 l/jour          </t>
  </si>
  <si>
    <t xml:space="preserve">Brebis traite  60 kg   2,0 l/jour          </t>
  </si>
  <si>
    <t xml:space="preserve">Brebis traite  60 kg   2,5 l/jour          </t>
  </si>
  <si>
    <t xml:space="preserve">Brebis traite  60 kg   3,0 l/jour          </t>
  </si>
  <si>
    <t xml:space="preserve">Brebis traite  80 kg   0,5 l/jour          </t>
  </si>
  <si>
    <t xml:space="preserve">Brebis traite  80 kg   1,0 l/jour          </t>
  </si>
  <si>
    <t xml:space="preserve">Brebis traite  80 kg   1,5 l/jour          </t>
  </si>
  <si>
    <t xml:space="preserve">Brebis traite  80 kg   2,0 l/jour          </t>
  </si>
  <si>
    <t xml:space="preserve">Brebis traite  80 kg   2,5 l/jour          </t>
  </si>
  <si>
    <t xml:space="preserve">Brebis traite  80 kg   3,0 l/jour          </t>
  </si>
  <si>
    <t xml:space="preserve">Brebis traite  90 kg   0,5 l/jour          </t>
  </si>
  <si>
    <t xml:space="preserve">Brebis traite  90 kg   1,0 l/jour          </t>
  </si>
  <si>
    <t xml:space="preserve">Brebis traite  90 kg   1,5 l/jour          </t>
  </si>
  <si>
    <t xml:space="preserve">Brebis traite  90 kg   2,0 l/jour          </t>
  </si>
  <si>
    <t xml:space="preserve">Brebis traite  90 kg   2,5 l/jour          </t>
  </si>
  <si>
    <t xml:space="preserve">Brebis traite  90 kg   3,0 l/jour          </t>
  </si>
  <si>
    <t xml:space="preserve">Brebis traite  100 kg   0,5 l/jour          </t>
  </si>
  <si>
    <t xml:space="preserve">Brebis traite  100 kg   1,0 l/jour          </t>
  </si>
  <si>
    <t xml:space="preserve">Brebis traite  100 kg   1,5 l/jour          </t>
  </si>
  <si>
    <t xml:space="preserve">Brebis traite  100 kg   2,0 l/jour          </t>
  </si>
  <si>
    <t xml:space="preserve">Brebis traite  100 kg   2,5 l/jour          </t>
  </si>
  <si>
    <t xml:space="preserve">Brebis traite  100 kg   3,0 l/jour          </t>
  </si>
  <si>
    <t xml:space="preserve">Rationnement des ovins </t>
  </si>
  <si>
    <t>Rationnement des ovins</t>
  </si>
  <si>
    <t>Pabs</t>
  </si>
  <si>
    <t>Caabs</t>
  </si>
  <si>
    <t>Brebis  50 kg   Allaitante    Triple      Semaines + 7 à + 10</t>
  </si>
  <si>
    <t xml:space="preserve">Brebis  50 kg   Allaitante    Triple      Semaines 0 à + 3 </t>
  </si>
  <si>
    <t>Brebis  50 kg   Allaitante    Triple      Semaines + 4 à + 6</t>
  </si>
  <si>
    <t>Brebis  60 kg   Allaitante    Triple      Semaines + 4 à + 6</t>
  </si>
  <si>
    <t>Brebis  60 kg   Allaitante    Triple      Semaines + 7 à + 10</t>
  </si>
  <si>
    <t xml:space="preserve">Brebis  60 kg   Allaitante    Triple      Semaines 0 à + 3 </t>
  </si>
  <si>
    <t>Brebis  70 kg   Allaitante    Triple      Semaines + 4 à + 6</t>
  </si>
  <si>
    <t>Brebis  70 kg   Allaitante    Triple      Semaines + 7 à + 10</t>
  </si>
  <si>
    <t xml:space="preserve">Brebis  70 kg   Allaitante    Triple      Semaines 0 à + 3 </t>
  </si>
  <si>
    <t>Brebis  80 kg   Allaitante    Triple      Semaines + 4 à + 6</t>
  </si>
  <si>
    <t>Brebis  80 kg   Allaitante    Triple      Semaines + 7 à + 10</t>
  </si>
  <si>
    <t xml:space="preserve">Brebis  80 kg   Allaitante    Triple      Semaines 0 à + 3 </t>
  </si>
  <si>
    <t>Brebis  90 kg   Allaitante    Triple      Semaines + 4 à + 6</t>
  </si>
  <si>
    <t>Brebis  90 kg   Allaitante    Triple      Semaines + 7 à + 10</t>
  </si>
  <si>
    <t xml:space="preserve">Brebis  90 kg   Allaitante    Triple      Semaines 0 à + 3 </t>
  </si>
  <si>
    <t>FOURRAGE</t>
  </si>
  <si>
    <t xml:space="preserve">       Saisir le nom de l'aliment</t>
  </si>
  <si>
    <t>Tourteau d'arachide</t>
  </si>
  <si>
    <t xml:space="preserve">      Saisissez les valeurs alimentaires</t>
  </si>
  <si>
    <r>
      <rPr>
        <b/>
        <i/>
        <sz val="24"/>
        <color rgb="FFC00000"/>
        <rFont val="Calibri"/>
        <family val="2"/>
        <scheme val="minor"/>
      </rPr>
      <t xml:space="preserve">LISTE DE VOS ALIMENTS  </t>
    </r>
    <r>
      <rPr>
        <b/>
        <i/>
        <sz val="20"/>
        <color rgb="FFC00000"/>
        <rFont val="Calibri"/>
        <family val="2"/>
        <scheme val="minor"/>
      </rPr>
      <t xml:space="preserve">                                </t>
    </r>
    <r>
      <rPr>
        <b/>
        <sz val="14"/>
        <rFont val="Calibri"/>
        <family val="2"/>
        <scheme val="minor"/>
      </rPr>
      <t>FOURRAGES                              CONCENTRES</t>
    </r>
  </si>
  <si>
    <t>ALIMENTS</t>
  </si>
  <si>
    <t xml:space="preserve">Valeurs alimentaires / kg </t>
  </si>
  <si>
    <t>N'oubliez pas de valider l'aliment</t>
  </si>
  <si>
    <r>
      <rPr>
        <i/>
        <sz val="14"/>
        <color theme="1"/>
        <rFont val="Calibri"/>
        <family val="2"/>
        <scheme val="minor"/>
      </rPr>
      <t xml:space="preserve">Les valeurs seront reportées automatiquement dans les listes d'aliments disponibles aux rubriques                              </t>
    </r>
    <r>
      <rPr>
        <i/>
        <sz val="16"/>
        <color theme="1"/>
        <rFont val="Calibri"/>
        <family val="2"/>
        <scheme val="minor"/>
      </rPr>
      <t xml:space="preserve"> "</t>
    </r>
    <r>
      <rPr>
        <i/>
        <u/>
        <sz val="16"/>
        <color theme="1"/>
        <rFont val="Calibri"/>
        <family val="2"/>
        <scheme val="minor"/>
      </rPr>
      <t>Mon fourrage</t>
    </r>
    <r>
      <rPr>
        <i/>
        <sz val="16"/>
        <color theme="1"/>
        <rFont val="Calibri"/>
        <family val="2"/>
        <scheme val="minor"/>
      </rPr>
      <t xml:space="preserve">" </t>
    </r>
    <r>
      <rPr>
        <i/>
        <sz val="14"/>
        <color theme="1"/>
        <rFont val="Calibri"/>
        <family val="2"/>
        <scheme val="minor"/>
      </rPr>
      <t>et</t>
    </r>
    <r>
      <rPr>
        <i/>
        <sz val="16"/>
        <color theme="1"/>
        <rFont val="Calibri"/>
        <family val="2"/>
        <scheme val="minor"/>
      </rPr>
      <t xml:space="preserve"> "</t>
    </r>
    <r>
      <rPr>
        <i/>
        <u/>
        <sz val="16"/>
        <color theme="1"/>
        <rFont val="Calibri"/>
        <family val="2"/>
        <scheme val="minor"/>
      </rPr>
      <t>Mon concentré</t>
    </r>
    <r>
      <rPr>
        <i/>
        <sz val="16"/>
        <color theme="1"/>
        <rFont val="Calibri"/>
        <family val="2"/>
        <scheme val="minor"/>
      </rPr>
      <t>"</t>
    </r>
  </si>
  <si>
    <t>Tourteau de colza</t>
  </si>
  <si>
    <t>Tourteau de lin</t>
  </si>
  <si>
    <t>Tourteau de tournesol</t>
  </si>
  <si>
    <t>Tourteau de coton</t>
  </si>
  <si>
    <t xml:space="preserve">Tourteau de soja </t>
  </si>
  <si>
    <t>Lactosérum</t>
  </si>
  <si>
    <t>Drêches de blé</t>
  </si>
  <si>
    <t>Drêches de brasserie</t>
  </si>
  <si>
    <t>Graines</t>
  </si>
  <si>
    <t>Minéraux</t>
  </si>
  <si>
    <t>Graines de colza</t>
  </si>
  <si>
    <t>Graines de soja</t>
  </si>
  <si>
    <t>Graines de lin</t>
  </si>
  <si>
    <t>Graines de coton</t>
  </si>
  <si>
    <t>Graines de tournesol</t>
  </si>
  <si>
    <t>Mes_concentrés</t>
  </si>
  <si>
    <r>
      <t xml:space="preserve">             </t>
    </r>
    <r>
      <rPr>
        <b/>
        <sz val="20"/>
        <color rgb="FFC00000"/>
        <rFont val="Calibri"/>
        <family val="2"/>
        <scheme val="minor"/>
      </rPr>
      <t xml:space="preserve">3 </t>
    </r>
    <r>
      <rPr>
        <i/>
        <sz val="11"/>
        <color theme="1"/>
        <rFont val="Calibri"/>
        <family val="2"/>
        <scheme val="minor"/>
      </rPr>
      <t>Composez votre concentré "agneau"</t>
    </r>
  </si>
  <si>
    <t>EVALUATION DES STOCKS DISPONIBLES</t>
  </si>
  <si>
    <t>Nombre de bottes</t>
  </si>
  <si>
    <t>Surface (ha)</t>
  </si>
  <si>
    <t>Produites</t>
  </si>
  <si>
    <t>Achetées</t>
  </si>
  <si>
    <t>Stocks (n-1)</t>
  </si>
  <si>
    <t>Poids d'une botte (kg)</t>
  </si>
  <si>
    <t>Total MS</t>
  </si>
  <si>
    <t>Foin balle ronde</t>
  </si>
  <si>
    <t>Autre</t>
  </si>
  <si>
    <t>Foin haute densité</t>
  </si>
  <si>
    <t>Paille alimentaire</t>
  </si>
  <si>
    <t>Enrubannage</t>
  </si>
  <si>
    <t>120 x 120</t>
  </si>
  <si>
    <r>
      <t>Volumes (m</t>
    </r>
    <r>
      <rPr>
        <vertAlign val="superscript"/>
        <sz val="14"/>
        <color theme="1"/>
        <rFont val="Calibri"/>
        <family val="2"/>
        <scheme val="minor"/>
      </rPr>
      <t>3</t>
    </r>
    <r>
      <rPr>
        <sz val="14"/>
        <color theme="1"/>
        <rFont val="Calibri"/>
        <family val="2"/>
        <scheme val="minor"/>
      </rPr>
      <t>)</t>
    </r>
  </si>
  <si>
    <t>Produits</t>
  </si>
  <si>
    <t>Achetés</t>
  </si>
  <si>
    <t>hauteur silo (cm)</t>
  </si>
  <si>
    <r>
      <t>Densité                      (kg MS/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</si>
  <si>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Ensilage herbe (couloir)</t>
  </si>
  <si>
    <t>Ensilage herbe (taupe)</t>
  </si>
  <si>
    <t>Ensilage maïs</t>
  </si>
  <si>
    <t>Foin vrac</t>
  </si>
  <si>
    <t>90 x 90</t>
  </si>
  <si>
    <t>150 x 150</t>
  </si>
  <si>
    <t>180 x 180</t>
  </si>
  <si>
    <t>EVALUATION DES BESOINS</t>
  </si>
  <si>
    <t>Lot</t>
  </si>
  <si>
    <t>Effectif</t>
  </si>
  <si>
    <t>U.G.B</t>
  </si>
  <si>
    <r>
      <rPr>
        <sz val="11"/>
        <color theme="1"/>
        <rFont val="Calibri"/>
        <family val="2"/>
        <scheme val="minor"/>
      </rPr>
      <t>Consommation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(kg MS/j)</t>
    </r>
  </si>
  <si>
    <t>Besoins en MS</t>
  </si>
  <si>
    <t>Stocks disponibles</t>
  </si>
  <si>
    <t>Lot N°1</t>
  </si>
  <si>
    <t>Bélier adulte</t>
  </si>
  <si>
    <t>Besoins du troupeau</t>
  </si>
  <si>
    <t>Lot N°2</t>
  </si>
  <si>
    <t>Lot N°3</t>
  </si>
  <si>
    <t>Marge de sécurité</t>
  </si>
  <si>
    <t>semaine(s)</t>
  </si>
  <si>
    <t>Lot N°4</t>
  </si>
  <si>
    <r>
      <t xml:space="preserve">BILAN FOURRAGER               </t>
    </r>
    <r>
      <rPr>
        <i/>
        <sz val="14"/>
        <rFont val="Calibri"/>
        <family val="2"/>
        <scheme val="minor"/>
      </rPr>
      <t xml:space="preserve"> ( hors paille)</t>
    </r>
  </si>
  <si>
    <t>Lot N°5</t>
  </si>
  <si>
    <t>Agnelle - 6 mois</t>
  </si>
  <si>
    <t>Lot N°6</t>
  </si>
  <si>
    <t>en pourcentage des besoins</t>
  </si>
  <si>
    <t>Lot N°7</t>
  </si>
  <si>
    <t>Lot N°8</t>
  </si>
  <si>
    <r>
      <t xml:space="preserve">BILAN FOURRAGER               </t>
    </r>
    <r>
      <rPr>
        <i/>
        <sz val="14"/>
        <rFont val="Calibri"/>
        <family val="2"/>
        <scheme val="minor"/>
      </rPr>
      <t xml:space="preserve"> (avec paille)</t>
    </r>
  </si>
  <si>
    <t>Lot N°9</t>
  </si>
  <si>
    <t>Lot N°10</t>
  </si>
  <si>
    <t>Agneau à l'engrais</t>
  </si>
  <si>
    <t>Agnelle + 6 mois</t>
  </si>
  <si>
    <t>Bélier - 1 an</t>
  </si>
  <si>
    <t>Agnelles - 6 mois</t>
  </si>
  <si>
    <t>Bélier - 6 mois</t>
  </si>
  <si>
    <t>Agnelles 6 mois et +</t>
  </si>
  <si>
    <t>Béliers - 6 mois</t>
  </si>
  <si>
    <t>Béliers 6 mois et +</t>
  </si>
  <si>
    <t>Brebis de réforme</t>
  </si>
  <si>
    <t>Mâle castré de +12 mois</t>
  </si>
  <si>
    <t>Agneaux de boucherie</t>
  </si>
  <si>
    <r>
      <t xml:space="preserve">Durée </t>
    </r>
    <r>
      <rPr>
        <sz val="11"/>
        <color theme="1"/>
        <rFont val="Calibri"/>
        <family val="2"/>
        <scheme val="minor"/>
      </rPr>
      <t>(jours)</t>
    </r>
  </si>
  <si>
    <t>BILAN FOURRAGER</t>
  </si>
  <si>
    <t>FOURRAGES</t>
  </si>
  <si>
    <r>
      <t>Bilan fourrager</t>
    </r>
    <r>
      <rPr>
        <i/>
        <sz val="11"/>
        <color theme="1"/>
        <rFont val="Calibri"/>
        <family val="2"/>
        <scheme val="minor"/>
      </rPr>
      <t xml:space="preserve"> du troupeau</t>
    </r>
  </si>
  <si>
    <r>
      <t xml:space="preserve"> </t>
    </r>
    <r>
      <rPr>
        <sz val="20"/>
        <color indexed="8"/>
        <rFont val="Calibri"/>
        <family val="2"/>
      </rPr>
      <t>*</t>
    </r>
    <r>
      <rPr>
        <i/>
        <sz val="10"/>
        <color indexed="8"/>
        <rFont val="Calibri"/>
        <family val="2"/>
      </rPr>
      <t xml:space="preserve"> RMIC &lt; - 12 (Brebis allaitantes - agneaux simples)                            RMIC &lt; - 6 (Brebis allaitantes - agneaux doubles)</t>
    </r>
  </si>
  <si>
    <r>
      <t xml:space="preserve">2 </t>
    </r>
    <r>
      <rPr>
        <i/>
        <sz val="10"/>
        <rFont val="Calibri"/>
        <family val="2"/>
      </rPr>
      <t>Saisissez les quantités brutes ou cliquez A VOLONTE</t>
    </r>
  </si>
  <si>
    <r>
      <t xml:space="preserve">3 </t>
    </r>
    <r>
      <rPr>
        <i/>
        <sz val="10"/>
        <rFont val="Calibri"/>
        <family val="2"/>
      </rPr>
      <t xml:space="preserve">Saisissez les quantités brutes </t>
    </r>
  </si>
  <si>
    <r>
      <t xml:space="preserve">FOURRAGE N° 1                              </t>
    </r>
    <r>
      <rPr>
        <i/>
        <sz val="18"/>
        <rFont val="Calibri"/>
        <family val="2"/>
        <scheme val="minor"/>
      </rPr>
      <t>(Rationné ou à volonté)</t>
    </r>
  </si>
  <si>
    <r>
      <rPr>
        <b/>
        <sz val="24"/>
        <color rgb="FFC00000"/>
        <rFont val="Calibri"/>
        <family val="2"/>
        <scheme val="minor"/>
      </rPr>
      <t xml:space="preserve">FOURRAGE N° 2                    </t>
    </r>
    <r>
      <rPr>
        <b/>
        <sz val="24"/>
        <color rgb="FFFFFF00"/>
        <rFont val="Calibri"/>
        <family val="2"/>
        <scheme val="minor"/>
      </rPr>
      <t xml:space="preserve"> </t>
    </r>
    <r>
      <rPr>
        <i/>
        <sz val="20"/>
        <rFont val="Calibri"/>
        <family val="2"/>
        <scheme val="minor"/>
      </rPr>
      <t>(Rationné)</t>
    </r>
  </si>
  <si>
    <t>Valeurs Alimentaires</t>
  </si>
  <si>
    <r>
      <t xml:space="preserve"> </t>
    </r>
    <r>
      <rPr>
        <sz val="20"/>
        <color indexed="8"/>
        <rFont val="Calibri"/>
        <family val="2"/>
      </rPr>
      <t>*</t>
    </r>
    <r>
      <rPr>
        <i/>
        <sz val="10"/>
        <color indexed="8"/>
        <rFont val="Calibri"/>
        <family val="2"/>
      </rPr>
      <t xml:space="preserve"> RMIC &lt; - 12 (Brebis allaitantes - agneaux simples)                         RMIC &lt; - 6 (Brebis allaitantes - agneaux doubles)</t>
    </r>
  </si>
  <si>
    <t>Maximum 8 concentrés</t>
  </si>
  <si>
    <t>Maximum 7  fourrages</t>
  </si>
  <si>
    <t>Saisir l'effectif d'animaux du lot</t>
  </si>
  <si>
    <t>Nom:</t>
  </si>
  <si>
    <t>TABLE DE VOS ALIMENTS</t>
  </si>
  <si>
    <t>Mélange fermier</t>
  </si>
  <si>
    <t>FORMULATION ET CALCUL DU COUT D'UN MELANGE FERMIER</t>
  </si>
  <si>
    <t xml:space="preserve">Brebis traite  40 kg   0,5 l/jour          </t>
  </si>
  <si>
    <t xml:space="preserve">Brebis traite  40 kg   1,0 l/jour          </t>
  </si>
  <si>
    <t xml:space="preserve">Brebis traite  40 kg   1,5 l/jour          </t>
  </si>
  <si>
    <t xml:space="preserve">Brebis traite  40 kg   2,0 l/jour          </t>
  </si>
  <si>
    <t xml:space="preserve">Brebis traite  40 kg   2,5 l/jour          </t>
  </si>
  <si>
    <t xml:space="preserve">Brebis traite  40 kg   3,0 l/jour          </t>
  </si>
  <si>
    <t xml:space="preserve">Brebis traite  30 kg   1,0 l/jour          </t>
  </si>
  <si>
    <t xml:space="preserve">Brebis traite  30 kg   1,5 l/jour          </t>
  </si>
  <si>
    <t xml:space="preserve">Brebis traite  30 kg   2,0 l/jour          </t>
  </si>
  <si>
    <t xml:space="preserve">Brebis traite  30 kg   2,5 l/jour          </t>
  </si>
  <si>
    <t xml:space="preserve">Brebis traite  30 kg   3,0 l/jour          </t>
  </si>
  <si>
    <t>Brebis  40 kg   Allaitante    Double      Semaines + 4 à + 6</t>
  </si>
  <si>
    <t>Brebis  40 kg   Allaitante    Double      Semaines + 7 à + 10</t>
  </si>
  <si>
    <t xml:space="preserve">Brebis  40 kg   Allaitante    Double      Semaines 0 à + 3 </t>
  </si>
  <si>
    <t>Brebis  40 kg   Allaitante    Simple      Semaines + 4 à + 6</t>
  </si>
  <si>
    <t>Brebis  40 kg   Allaitante    Simple      Semaines + 7 à + 10</t>
  </si>
  <si>
    <t xml:space="preserve">Brebis  40 kg   Allaitante    Simple      Semaines 0 à + 3 </t>
  </si>
  <si>
    <t>Brebis  40 kg   Allaitante    Triple      Semaines + 4 à + 6</t>
  </si>
  <si>
    <t>Brebis  40 kg   Allaitante    Triple      Semaines + 7 à + 10</t>
  </si>
  <si>
    <t xml:space="preserve">Brebis  40 kg   Allaitante    Triple      Semaines 0 à + 3 </t>
  </si>
  <si>
    <t>Brebis  40 kg   Gestante    Double      Semaines - 2 à 0</t>
  </si>
  <si>
    <t>Brebis  40 kg   Gestante    Double      Semaines - 3 à - 4</t>
  </si>
  <si>
    <t>Brebis  40 kg   Gestante    Double      Semaines - 5 à - 6</t>
  </si>
  <si>
    <t>Brebis  40 kg   Gestante    Inconnu      Semaines - 2 à 0</t>
  </si>
  <si>
    <t>Brebis  40 kg   Gestante    Inconnu      Semaines - 3 à - 4</t>
  </si>
  <si>
    <t>Brebis  40 kg   Gestante    Inconnu      Semaines - 5 à - 6</t>
  </si>
  <si>
    <t>Brebis  40 kg   Gestante    Simple      Semaines - 2 à 0</t>
  </si>
  <si>
    <t>Brebis  40 kg   Gestante    Simple      Semaines - 3 à - 4</t>
  </si>
  <si>
    <t>Brebis  40 kg   Gestante    Simple      Semaines - 5 à - 6</t>
  </si>
  <si>
    <t>Brebis  40 kg   Vide    Bon Etat (&gt; 3,5)      Avec prise de poids + 150 g/j</t>
  </si>
  <si>
    <t>Brebis  40 kg   Vide    Bon Etat (&gt; 3,5)      flushing + 100 g/j</t>
  </si>
  <si>
    <t>Brebis  40 kg   Vide    Bon Etat (&gt; 3,5)      Sans prise de poids - Entretien</t>
  </si>
  <si>
    <t>Brebis  40 kg   Vide    Etat Moyen (2,5 - 3,5)      Avec prise de poids + 150 g/j</t>
  </si>
  <si>
    <t>Brebis  40 kg   Vide    Etat Moyen (2,5 - 3,5)      flushing + 100 g/j</t>
  </si>
  <si>
    <t>Brebis  40 kg   Vide    Etat Moyen (2,5 - 3,5)      Sans prise de poids - Entretien</t>
  </si>
  <si>
    <t>Brebis  40 kg   Vide    Mauvais Etat (&lt; 2,5)      Avec prise de poids + 150 g/j</t>
  </si>
  <si>
    <t>Brebis  40 kg   Vide    Mauvais Etat (&lt; 2,5)      flushing + 100 g/j</t>
  </si>
  <si>
    <t>Brebis  40 kg   Vide    Mauvais Etat (&lt; 2,5)      Sans prise de poids - Entretien</t>
  </si>
  <si>
    <t>Brebis  30 kg   Allaitante    Double      Semaines + 4 à + 6</t>
  </si>
  <si>
    <t>Brebis  30 kg   Allaitante    Double      Semaines + 7 à + 10</t>
  </si>
  <si>
    <t xml:space="preserve">Brebis  30 kg   Allaitante    Double      Semaines 0 à + 3 </t>
  </si>
  <si>
    <t>Brebis  30 kg   Allaitante    Simple      Semaines + 4 à + 6</t>
  </si>
  <si>
    <t>Brebis  30 kg   Allaitante    Simple      Semaines + 7 à + 10</t>
  </si>
  <si>
    <t xml:space="preserve">Brebis  30 kg   Allaitante    Simple      Semaines 0 à + 3 </t>
  </si>
  <si>
    <t>Brebis  30 kg   Allaitante    Triple      Semaines + 4 à + 6</t>
  </si>
  <si>
    <t>Brebis  30 kg   Allaitante    Triple      Semaines + 7 à + 10</t>
  </si>
  <si>
    <t xml:space="preserve">Brebis  30 kg   Allaitante    Triple      Semaines 0 à + 3 </t>
  </si>
  <si>
    <t>Brebis  30 kg   Gestante    Double      Semaines - 2 à 0</t>
  </si>
  <si>
    <t>Brebis  30 kg   Gestante    Double      Semaines - 3 à - 4</t>
  </si>
  <si>
    <t>Brebis  30 kg   Gestante    Double      Semaines - 5 à - 6</t>
  </si>
  <si>
    <t>Brebis  30 kg   Gestante    Inconnu      Semaines - 2 à 0</t>
  </si>
  <si>
    <t>Brebis  30 kg   Gestante    Inconnu      Semaines - 3 à - 4</t>
  </si>
  <si>
    <t>Brebis  30 kg   Gestante    Inconnu      Semaines - 5 à - 6</t>
  </si>
  <si>
    <t>Brebis  30 kg   Gestante    Simple      Semaines - 2 à 0</t>
  </si>
  <si>
    <t>Brebis  30 kg   Gestante    Simple      Semaines - 3 à - 4</t>
  </si>
  <si>
    <t>Brebis  30 kg   Gestante    Simple      Semaines - 5 à - 6</t>
  </si>
  <si>
    <t>Brebis  30 kg   Vide    Bon Etat (&gt; 3,5)      Avec prise de poids + 150 g/j</t>
  </si>
  <si>
    <t>Brebis  30 kg   Vide    Bon Etat (&gt; 3,5)      flushing + 100 g/j</t>
  </si>
  <si>
    <t>Brebis  30 kg   Vide    Bon Etat (&gt; 3,5)      Sans prise de poids - Entretien</t>
  </si>
  <si>
    <t>Brebis  30 kg   Vide    Etat Moyen (2,5 - 3,5)      Avec prise de poids + 150 g/j</t>
  </si>
  <si>
    <t>Brebis  30 kg   Vide    Etat Moyen (2,5 - 3,5)      flushing + 100 g/j</t>
  </si>
  <si>
    <t>Brebis  30 kg   Vide    Etat Moyen (2,5 - 3,5)      Sans prise de poids - Entretien</t>
  </si>
  <si>
    <t>Brebis  30 kg   Vide    Mauvais Etat (&lt; 2,5)      Avec prise de poids + 150 g/j</t>
  </si>
  <si>
    <t>Brebis  30 kg   Vide    Mauvais Etat (&lt; 2,5)      flushing + 100 g/j</t>
  </si>
  <si>
    <t>Brebis  30 kg   Vide    Mauvais Etat (&lt; 2,5)      Sans prise de poids - Entretien</t>
  </si>
  <si>
    <t xml:space="preserve">Bélier  40 kg   Croissance          </t>
  </si>
  <si>
    <t xml:space="preserve">Bélier  40 kg   Entretien          </t>
  </si>
  <si>
    <t xml:space="preserve">Bélier  40 kg   Flushing          </t>
  </si>
  <si>
    <t xml:space="preserve">Bélier  30 kg   Croissance          </t>
  </si>
  <si>
    <t xml:space="preserve">Bélier  30 kg   Entretien          </t>
  </si>
  <si>
    <t xml:space="preserve">Bélier  30 kg   Flushing          </t>
  </si>
  <si>
    <t xml:space="preserve"> 0 - 27 </t>
  </si>
  <si>
    <t xml:space="preserve"> 2 - 28</t>
  </si>
  <si>
    <t xml:space="preserve"> 5 - 22</t>
  </si>
  <si>
    <t xml:space="preserve"> 3 - 27</t>
  </si>
  <si>
    <t xml:space="preserve"> 8 - 18</t>
  </si>
  <si>
    <t xml:space="preserve"> 7 - 23</t>
  </si>
  <si>
    <t xml:space="preserve"> 9 - 27</t>
  </si>
  <si>
    <t xml:space="preserve"> 6 - 18</t>
  </si>
  <si>
    <t>Ca / P ration (avant correction)</t>
  </si>
  <si>
    <r>
      <t>CaCO</t>
    </r>
    <r>
      <rPr>
        <vertAlign val="subscript"/>
        <sz val="11"/>
        <color rgb="FFFF0000"/>
        <rFont val="Calibri"/>
        <family val="2"/>
        <scheme val="minor"/>
      </rPr>
      <t>3</t>
    </r>
  </si>
  <si>
    <t xml:space="preserve">Agnelle  100 kg   Croissance          </t>
  </si>
  <si>
    <t xml:space="preserve">Agnelle  100 kg   Entretien          </t>
  </si>
  <si>
    <t xml:space="preserve">Agnelle  100 kg   Flushing          </t>
  </si>
  <si>
    <t xml:space="preserve">Agnelle  30 kg   Croissance          </t>
  </si>
  <si>
    <t xml:space="preserve">Agnelle  30 kg   Entretien          </t>
  </si>
  <si>
    <t xml:space="preserve">Agnelle  30 kg   Flushing          </t>
  </si>
  <si>
    <t xml:space="preserve">Agnelle  40 kg   Croissance          </t>
  </si>
  <si>
    <t xml:space="preserve">Agnelle  40 kg   Entretien          </t>
  </si>
  <si>
    <t xml:space="preserve">Agnelle  40 kg   Flushing          </t>
  </si>
  <si>
    <t xml:space="preserve">Agnelle  50 kg   Croissance          </t>
  </si>
  <si>
    <t xml:space="preserve">Agnelle  50 kg   Entretien          </t>
  </si>
  <si>
    <t xml:space="preserve">Agnelle  50 kg   Flushing          </t>
  </si>
  <si>
    <t xml:space="preserve">Agnelle  60 kg   Croissance          </t>
  </si>
  <si>
    <t xml:space="preserve">Agnelle  60 kg   Entretien          </t>
  </si>
  <si>
    <t xml:space="preserve">Agnelle  60 kg   Flushing          </t>
  </si>
  <si>
    <t xml:space="preserve">Agnelle  70 kg   Croissance          </t>
  </si>
  <si>
    <t xml:space="preserve">Agnelle  70 kg   Entretien          </t>
  </si>
  <si>
    <t xml:space="preserve">Agnelle  70 kg   Flushing          </t>
  </si>
  <si>
    <t xml:space="preserve">Agnelle  80 kg   Croissance          </t>
  </si>
  <si>
    <t xml:space="preserve">Agnelle  80 kg   Entretien          </t>
  </si>
  <si>
    <t xml:space="preserve">Agnelle  80 kg   Flushing          </t>
  </si>
  <si>
    <t xml:space="preserve">Agnelle  90 kg   Croissance          </t>
  </si>
  <si>
    <t xml:space="preserve">Agnelle  90 kg   Entretien          </t>
  </si>
  <si>
    <t xml:space="preserve">Agnelle  90 kg   Flushing          </t>
  </si>
  <si>
    <t>Brebis  40 kg   Engrais    GMQ 150 g/j      Bon état (3 - 3.5)</t>
  </si>
  <si>
    <t>Brebis  40 kg   Engrais    GMQ 150 g/j      Etat moyen (2 - 2.5)</t>
  </si>
  <si>
    <t>Brebis  40 kg   Engrais    GMQ 150 g/j      Mauvais état (1 - 1.5)</t>
  </si>
  <si>
    <t>Brebis  50 kg   Engrais    GMQ 150 g/j      Bon état (3 - 3.5)</t>
  </si>
  <si>
    <t>Brebis  50 kg   Engrais    GMQ 150 g/j      Etat moyen (2 - 2.5)</t>
  </si>
  <si>
    <t>Brebis  50 kg   Engrais    GMQ 150 g/j      Mauvais état (1 - 1.5)</t>
  </si>
  <si>
    <t>Brebis  60 kg   Engrais    GMQ 150 g/j      Bon état (3 - 3.5)</t>
  </si>
  <si>
    <t>Brebis  60 kg   Engrais    GMQ 150 g/j      Etat moyen (2 - 2.5)</t>
  </si>
  <si>
    <t>Brebis  60 kg   Engrais    GMQ 150 g/j      Mauvais état (1 - 1.5)</t>
  </si>
  <si>
    <t>Brebis  70 kg   Engrais    GMQ 150 g/j      Bon état (3 - 3.5)</t>
  </si>
  <si>
    <t>Brebis  70 kg   Engrais    GMQ 150 g/j      Etat moyen (2 - 2.5)</t>
  </si>
  <si>
    <t>Brebis  70 kg   Engrais    GMQ 150 g/j      Mauvais état (1 - 1.5)</t>
  </si>
  <si>
    <t>Brebis  80 kg   Engrais    GMQ 150 g/j      Bon état (3 - 3.5)</t>
  </si>
  <si>
    <t>Brebis  80 kg   Engrais    GMQ 150 g/j      Etat moyen (2 - 2.5)</t>
  </si>
  <si>
    <t>Brebis  80 kg   Engrais    GMQ 150 g/j      Mauvais état (1 - 1.5)</t>
  </si>
  <si>
    <t>Bergerie</t>
  </si>
  <si>
    <t>Plein air</t>
  </si>
  <si>
    <t>Brebis  40 kg   Engrais    GMQ 100 g/j      Bon état (3 - 3.5)</t>
  </si>
  <si>
    <t>Brebis  40 kg   Engrais    GMQ 100 g/j      Etat moyen (2 - 2.5)</t>
  </si>
  <si>
    <t>Brebis  40 kg   Engrais    GMQ 100 g/j      Mauvais état (1 - 1.5)</t>
  </si>
  <si>
    <t>Brebis  40 kg   Engrais    GMQ  50 g/j      Bon état (3 - 3.5)</t>
  </si>
  <si>
    <t>Brebis  40 kg   Engrais    GMQ  50 g/j      Etat moyen (2 - 2.5)</t>
  </si>
  <si>
    <t>Brebis  40 kg   Engrais    GMQ  50 g/j      Mauvais état (1 - 1.5)</t>
  </si>
  <si>
    <t>Brebis  50 kg   Engrais    GMQ  50 g/j      Bon état (3 - 3.5)</t>
  </si>
  <si>
    <t>Brebis  50 kg   Engrais    GMQ  50 g/j      Etat moyen (2 - 2.5)</t>
  </si>
  <si>
    <t>Brebis  50 kg   Engrais    GMQ  50 g/j      Mauvais état (1 - 1.5)</t>
  </si>
  <si>
    <t>Brebis  60 kg   Engrais    GMQ  50 g/j      Bon état (3 - 3.5)</t>
  </si>
  <si>
    <t>Brebis  60 kg   Engrais    GMQ  50 g/j      Etat moyen (2 - 2.5)</t>
  </si>
  <si>
    <t>Brebis  60 kg   Engrais    GMQ  50 g/j      Mauvais état (1 - 1.5)</t>
  </si>
  <si>
    <t>Brebis  70 kg   Engrais    GMQ  50 g/j      Bon état (3 - 3.5)</t>
  </si>
  <si>
    <t>Brebis  70 kg   Engrais    GMQ  50 g/j      Etat moyen (2 - 2.5)</t>
  </si>
  <si>
    <t>Brebis  70 kg   Engrais    GMQ  50 g/j      Mauvais état (1 - 1.5)</t>
  </si>
  <si>
    <t>Brebis  80 kg   Engrais    GMQ  50 g/j      Bon état (3 - 3.5)</t>
  </si>
  <si>
    <t>Brebis  80 kg   Engrais    GMQ  50 g/j      Etat moyen (2 - 2.5)</t>
  </si>
  <si>
    <t>Brebis  80 kg   Engrais    GMQ  50 g/j      Mauvais état (1 - 1.5)</t>
  </si>
  <si>
    <t>Brebis  50 kg   Engrais    GMQ 100 g/j      Bon état (3 - 3.5)</t>
  </si>
  <si>
    <t>Brebis  50 kg   Engrais    GMQ 100 g/j      Etat moyen (2 - 2.5)</t>
  </si>
  <si>
    <t>Brebis  50 kg   Engrais    GMQ 100 g/j      Mauvais état (1 - 1.5)</t>
  </si>
  <si>
    <t>Brebis  60 kg   Engrais    GMQ 100 g/j      Bon état (3 - 3.5)</t>
  </si>
  <si>
    <t>Brebis  60 kg   Engrais    GMQ 100 g/j      Etat moyen (2 - 2.5)</t>
  </si>
  <si>
    <t>Brebis  60 kg   Engrais    GMQ 100 g/j      Mauvais état (1 - 1.5)</t>
  </si>
  <si>
    <t>Brebis  70 kg   Engrais    GMQ 100 g/j      Bon état (3 - 3.5)</t>
  </si>
  <si>
    <t>Brebis  70 kg   Engrais    GMQ 100 g/j      Etat moyen (2 - 2.5)</t>
  </si>
  <si>
    <t>Brebis  70 kg   Engrais    GMQ 100 g/j      Mauvais état (1 - 1.5)</t>
  </si>
  <si>
    <t>Brebis  80 kg   Engrais    GMQ 100 g/j      Bon état (3 - 3.5)</t>
  </si>
  <si>
    <t>Brebis  80 kg   Engrais    GMQ 100 g/j      Etat moyen (2 - 2.5)</t>
  </si>
  <si>
    <t>Brebis  80 kg   Engrais    GMQ 100 g/j      Mauvais état (1 - 1.5)</t>
  </si>
  <si>
    <t>Fabrice RANOUX - LYCEE AGRICOLE du BOURBONNAIS - BP 1721 - 03017 MOULINS cedex - Tous droits réservés</t>
  </si>
  <si>
    <r>
      <t xml:space="preserve">Code de déverrouillage  </t>
    </r>
    <r>
      <rPr>
        <sz val="16"/>
        <color rgb="FF0070C0"/>
        <rFont val="Calibri"/>
        <family val="2"/>
      </rPr>
      <t>→</t>
    </r>
    <r>
      <rPr>
        <i/>
        <sz val="16"/>
        <color rgb="FF0070C0"/>
        <rFont val="Calibri"/>
        <family val="2"/>
      </rPr>
      <t xml:space="preserve">   </t>
    </r>
    <r>
      <rPr>
        <b/>
        <i/>
        <sz val="16"/>
        <color rgb="FF0070C0"/>
        <rFont val="Calibri"/>
        <family val="2"/>
      </rPr>
      <t>ctrl</t>
    </r>
  </si>
  <si>
    <t xml:space="preserve"> Rationnement des ovins </t>
  </si>
  <si>
    <r>
      <t xml:space="preserve">                </t>
    </r>
    <r>
      <rPr>
        <b/>
        <sz val="20"/>
        <color indexed="60"/>
        <rFont val="Calibri"/>
        <family val="2"/>
      </rPr>
      <t>1</t>
    </r>
    <r>
      <rPr>
        <i/>
        <sz val="10"/>
        <color indexed="8"/>
        <rFont val="Calibri"/>
        <family val="2"/>
      </rPr>
      <t xml:space="preserve"> Cliquez sur les flèches pour faire votre choix</t>
    </r>
  </si>
  <si>
    <r>
      <t xml:space="preserve">               </t>
    </r>
    <r>
      <rPr>
        <b/>
        <sz val="20"/>
        <color indexed="60"/>
        <rFont val="Calibri"/>
        <family val="2"/>
      </rPr>
      <t xml:space="preserve">1 </t>
    </r>
    <r>
      <rPr>
        <i/>
        <sz val="10"/>
        <color indexed="8"/>
        <rFont val="Calibri"/>
        <family val="2"/>
      </rPr>
      <t>Cliquez sur les flèches pour faire votre choix</t>
    </r>
  </si>
  <si>
    <t xml:space="preserve">                     Cliquez dans la case "Matières premières" et choisissez dans la liste - Saisissez ensuite les quantités introduites dans le mélange</t>
  </si>
  <si>
    <t>Epeautre</t>
  </si>
  <si>
    <r>
      <t xml:space="preserve">        </t>
    </r>
    <r>
      <rPr>
        <b/>
        <sz val="20"/>
        <color indexed="60"/>
        <rFont val="Calibri"/>
        <family val="2"/>
      </rPr>
      <t xml:space="preserve">1 </t>
    </r>
    <r>
      <rPr>
        <i/>
        <sz val="10"/>
        <color indexed="8"/>
        <rFont val="Calibri"/>
        <family val="2"/>
      </rPr>
      <t>Cliquez sur les flèches                 ou cochez les cases</t>
    </r>
  </si>
  <si>
    <t>CMV 2 - 28</t>
  </si>
  <si>
    <t>CMV 3 - 27</t>
  </si>
  <si>
    <t>CMV 0 - 27</t>
  </si>
  <si>
    <t>Soja tanné</t>
  </si>
  <si>
    <t>Colza tanné</t>
  </si>
  <si>
    <t>Tournesol décortiqué</t>
  </si>
  <si>
    <t>Corn gluten</t>
  </si>
  <si>
    <t>Son de blé</t>
  </si>
  <si>
    <t>Coton déshuilé</t>
  </si>
  <si>
    <t>Soja extrudé</t>
  </si>
  <si>
    <t>Ensilage    Prairie naturelle    Enrubanné (&gt; 45 % MS)  1er cycle  épaison</t>
  </si>
  <si>
    <t>Ensilage    Prairie naturelle    Enrubanné (&gt; 45 % MS)  1er cycle début épiaison</t>
  </si>
  <si>
    <t>Ensilage    Prairie naturelle    Enrubanné (&gt; 45 % MS)  1er cycle début floraison</t>
  </si>
  <si>
    <t>Ensilage    Prairie naturelle    Préfané (35 % MS)  1er cycle  épaison</t>
  </si>
  <si>
    <t xml:space="preserve">Ensilage    Prairie naturelle    Préfané (35 % MS)  1er cycle début épiaison </t>
  </si>
  <si>
    <t>Ensilage    Prairie naturelle    Préfané (35 % MS)  1er cycle début floraison</t>
  </si>
  <si>
    <t xml:space="preserve">Ensilage    Prairie naturelle    Ressuyage (25 % MS)  1er cycle  épaison </t>
  </si>
  <si>
    <t xml:space="preserve">Ensilage    Prairie naturelle    Ressuyage (25 % MS)  1er cycle début épiaison </t>
  </si>
  <si>
    <t>Ensilage    Prairie naturelle    Ressuyage (25 % MS)  1er cycle début floraison</t>
  </si>
  <si>
    <t xml:space="preserve">Foin    Prairie naturelle    Fané au sol &lt; 10 jours)  1er cycle  épaison </t>
  </si>
  <si>
    <t>Foin    Prairie naturelle    Fané au sol &lt; 10 jours)  1er cycle début épiaison</t>
  </si>
  <si>
    <t xml:space="preserve">Foin    Prairie naturelle    Fané au sol &lt; 10 jours)  1er cycle début floraison </t>
  </si>
  <si>
    <t>Foin    Prairie naturelle    Fané au sol par beau temps  1er cycle  épaison</t>
  </si>
  <si>
    <t>Foin    Prairie naturelle    Fané au sol par beau temps  1er cycle début épiaison</t>
  </si>
  <si>
    <t>Foin    Prairie naturelle    Fané au sol par beau temps  1er cycle début floraison</t>
  </si>
  <si>
    <t>Foin    Prairie naturelle    Ventilé (en grange)  1er cycle  épaison</t>
  </si>
  <si>
    <t>Foin    Prairie naturelle    Ventilé (en grange)  1er cycle début épiaison</t>
  </si>
  <si>
    <t>Foin    Prairie naturelle    Ventilé (en grange)  1er cycle début floraison</t>
  </si>
  <si>
    <t xml:space="preserve">Ensilage    Prairie naturelle    Enrubanné (&gt; 45 % MS)  1er cycle  épaison </t>
  </si>
  <si>
    <t xml:space="preserve">Ensilage    Prairie naturelle    Enrubanné (&gt; 45 % MS)  1er cycle début épiaison </t>
  </si>
  <si>
    <t xml:space="preserve">Ensilage    Prairie naturelle    Enrubanné (&gt; 45 % MS)  1er cycle début floraison </t>
  </si>
  <si>
    <t>Ensilage    Prairie naturelle    Préfané (35 % MS)  1er cycle début épiaison)</t>
  </si>
  <si>
    <t>Ensilage    Prairie naturelle    Ressuyage (25 % MS)  1er cycle début épiaison</t>
  </si>
  <si>
    <t xml:space="preserve">     </t>
  </si>
  <si>
    <r>
      <rPr>
        <b/>
        <sz val="48"/>
        <color indexed="13"/>
        <rFont val="Viner Hand ITC"/>
        <family val="4"/>
      </rPr>
      <t>ALIM</t>
    </r>
    <r>
      <rPr>
        <i/>
        <sz val="48"/>
        <color indexed="13"/>
        <rFont val="Calibri"/>
        <family val="2"/>
      </rPr>
      <t>'</t>
    </r>
    <r>
      <rPr>
        <i/>
        <sz val="36"/>
        <color indexed="60"/>
        <rFont val="Kristen ITC"/>
        <family val="4"/>
      </rPr>
      <t>ovins</t>
    </r>
    <r>
      <rPr>
        <i/>
        <sz val="12"/>
        <color indexed="8"/>
        <rFont val="Calibri"/>
        <family val="2"/>
      </rPr>
      <t>(v. 5.0)</t>
    </r>
    <r>
      <rPr>
        <sz val="12"/>
        <color indexed="8"/>
        <rFont val="Calibri"/>
        <family val="2"/>
      </rPr>
      <t xml:space="preserve"> </t>
    </r>
  </si>
  <si>
    <r>
      <t xml:space="preserve">Saisir la durée  d'alimentation  </t>
    </r>
    <r>
      <rPr>
        <b/>
        <i/>
        <sz val="14"/>
        <color theme="1"/>
        <rFont val="Calibri"/>
        <family val="2"/>
        <scheme val="minor"/>
      </rPr>
      <t>(en jours)</t>
    </r>
  </si>
  <si>
    <t>Bilan alimentaire</t>
  </si>
  <si>
    <r>
      <rPr>
        <b/>
        <i/>
        <sz val="14"/>
        <color theme="1"/>
        <rFont val="Calibri"/>
        <family val="2"/>
        <scheme val="minor"/>
      </rPr>
      <t xml:space="preserve">Cout de concentré </t>
    </r>
    <r>
      <rPr>
        <i/>
        <sz val="14"/>
        <color theme="1"/>
        <rFont val="Calibri"/>
        <family val="2"/>
        <scheme val="minor"/>
      </rPr>
      <t xml:space="preserve">(€ / animal / jour)  </t>
    </r>
    <r>
      <rPr>
        <i/>
        <sz val="12"/>
        <color theme="1"/>
        <rFont val="Calibri"/>
        <family val="2"/>
        <scheme val="minor"/>
      </rPr>
      <t xml:space="preserve">    </t>
    </r>
  </si>
  <si>
    <r>
      <rPr>
        <b/>
        <sz val="16"/>
        <color theme="1"/>
        <rFont val="Calibri"/>
        <family val="2"/>
        <scheme val="minor"/>
      </rPr>
      <t>COUT TOTAL DE CONCENTRE</t>
    </r>
    <r>
      <rPr>
        <i/>
        <sz val="12"/>
        <color theme="1"/>
        <rFont val="Calibri"/>
        <family val="2"/>
        <scheme val="minor"/>
      </rPr>
      <t xml:space="preserve"> (en € pour le lot et pour la période)</t>
    </r>
  </si>
  <si>
    <t xml:space="preserve">    unitaire</t>
  </si>
  <si>
    <t>Coût des matières premières                  (€ /tonne)</t>
  </si>
  <si>
    <r>
      <t>cm</t>
    </r>
    <r>
      <rPr>
        <sz val="16"/>
        <rFont val="Calibri"/>
        <family val="2"/>
        <scheme val="minor"/>
      </rPr>
      <t>*</t>
    </r>
  </si>
  <si>
    <t>Hauteur de sortie prévue</t>
  </si>
  <si>
    <t>Hauteur d'herbe à l'entrée</t>
  </si>
  <si>
    <r>
      <t xml:space="preserve">                       </t>
    </r>
    <r>
      <rPr>
        <b/>
        <i/>
        <sz val="20"/>
        <color indexed="60"/>
        <rFont val="Calibri"/>
        <family val="2"/>
      </rPr>
      <t xml:space="preserve">2 </t>
    </r>
    <r>
      <rPr>
        <i/>
        <sz val="11"/>
        <rFont val="Calibri"/>
        <family val="2"/>
      </rPr>
      <t xml:space="preserve"> Saisir la quantité de CMV choisie  ou accepter la quantité proposée</t>
    </r>
  </si>
  <si>
    <t>Betterave fourragère</t>
  </si>
  <si>
    <r>
      <rPr>
        <b/>
        <sz val="20"/>
        <color indexed="60"/>
        <rFont val="Calibri"/>
        <family val="2"/>
      </rPr>
      <t xml:space="preserve">1 </t>
    </r>
    <r>
      <rPr>
        <i/>
        <sz val="10"/>
        <color indexed="8"/>
        <rFont val="Calibri"/>
        <family val="2"/>
      </rPr>
      <t>Cliquez sur les flèches pour faire votre choix</t>
    </r>
  </si>
  <si>
    <t>Saisissez le prix de l'aliment                                       et le nombre d'agneaux</t>
  </si>
  <si>
    <t>Prix de l'aliment    (€ / tonne)</t>
  </si>
  <si>
    <t>Concentré 1</t>
  </si>
  <si>
    <t>Concentré 2</t>
  </si>
  <si>
    <t>REPARTITION DES ALIMENTS</t>
  </si>
  <si>
    <t>Fourrages</t>
  </si>
  <si>
    <t>REPARTITION DES APPORTS</t>
  </si>
  <si>
    <t>en % des besoins alimentaires</t>
  </si>
  <si>
    <t>Part  des fourrages et des concentrés dans la ration</t>
  </si>
  <si>
    <t>REPARTITION DES BESOINS</t>
  </si>
  <si>
    <t>ENTRETIEN</t>
  </si>
  <si>
    <t>PRODUCTION</t>
  </si>
  <si>
    <t>en % des besoins totaux</t>
  </si>
  <si>
    <t>Capacité d'ingestion</t>
  </si>
  <si>
    <t>Foin de crau</t>
  </si>
  <si>
    <t>Pour supprimer un aliment, choisissez dans la liste</t>
  </si>
  <si>
    <t>Valeurs des concentrés</t>
  </si>
  <si>
    <r>
      <t>P</t>
    </r>
    <r>
      <rPr>
        <b/>
        <vertAlign val="subscript"/>
        <sz val="16"/>
        <color theme="1"/>
        <rFont val="Calibri"/>
        <family val="2"/>
        <scheme val="minor"/>
      </rPr>
      <t>abs</t>
    </r>
  </si>
  <si>
    <r>
      <t xml:space="preserve">   Ca</t>
    </r>
    <r>
      <rPr>
        <b/>
        <vertAlign val="subscript"/>
        <sz val="16"/>
        <color theme="1"/>
        <rFont val="Calibri"/>
        <family val="2"/>
        <scheme val="minor"/>
      </rPr>
      <t>abs</t>
    </r>
  </si>
  <si>
    <t>100 % des A.A.R.</t>
  </si>
  <si>
    <t>Avant correction</t>
  </si>
  <si>
    <t>Après correction</t>
  </si>
  <si>
    <t>Prévision</t>
  </si>
  <si>
    <t>Calculs effectués à partir des équations INRA</t>
  </si>
  <si>
    <t>Saisissez les constituants</t>
  </si>
  <si>
    <t xml:space="preserve">Valeurs calculées </t>
  </si>
  <si>
    <t xml:space="preserve">Humidité </t>
  </si>
  <si>
    <r>
      <t xml:space="preserve">Protéines Brutes </t>
    </r>
    <r>
      <rPr>
        <i/>
        <sz val="9"/>
        <color theme="1"/>
        <rFont val="Calibri"/>
        <family val="2"/>
        <scheme val="minor"/>
      </rPr>
      <t>(Matières Azotées Totales)</t>
    </r>
  </si>
  <si>
    <t xml:space="preserve">MAT </t>
  </si>
  <si>
    <r>
      <t>Matière Grasse</t>
    </r>
    <r>
      <rPr>
        <i/>
        <sz val="9"/>
        <color theme="1"/>
        <rFont val="Calibri"/>
        <family val="2"/>
        <scheme val="minor"/>
      </rPr>
      <t xml:space="preserve"> (Lipides)</t>
    </r>
  </si>
  <si>
    <t>MG</t>
  </si>
  <si>
    <t>PDIA</t>
  </si>
  <si>
    <t>g / kg</t>
  </si>
  <si>
    <t>Cellulose Brute</t>
  </si>
  <si>
    <t xml:space="preserve">CB </t>
  </si>
  <si>
    <r>
      <t xml:space="preserve">Cendres Brutes </t>
    </r>
    <r>
      <rPr>
        <i/>
        <sz val="9"/>
        <color theme="1"/>
        <rFont val="Calibri"/>
        <family val="2"/>
        <scheme val="minor"/>
      </rPr>
      <t>(Matières Minérales)</t>
    </r>
  </si>
  <si>
    <t>MM</t>
  </si>
  <si>
    <t>MAT</t>
  </si>
  <si>
    <t>DE1</t>
  </si>
  <si>
    <t>MANDE1</t>
  </si>
  <si>
    <t>CB</t>
  </si>
  <si>
    <t>MO</t>
  </si>
  <si>
    <t>EB</t>
  </si>
  <si>
    <t>g/100 g</t>
  </si>
  <si>
    <r>
      <t>P</t>
    </r>
    <r>
      <rPr>
        <b/>
        <sz val="20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(Phosphore)</t>
    </r>
  </si>
  <si>
    <r>
      <t xml:space="preserve">Ca </t>
    </r>
    <r>
      <rPr>
        <i/>
        <sz val="14"/>
        <color theme="1"/>
        <rFont val="Calibri"/>
        <family val="2"/>
        <scheme val="minor"/>
      </rPr>
      <t>(Calcium)</t>
    </r>
  </si>
  <si>
    <t>Minéraux absorbables</t>
  </si>
  <si>
    <r>
      <rPr>
        <b/>
        <sz val="16"/>
        <rFont val="Calibri"/>
        <family val="2"/>
        <scheme val="minor"/>
      </rPr>
      <t>P</t>
    </r>
    <r>
      <rPr>
        <i/>
        <vertAlign val="subscript"/>
        <sz val="20"/>
        <rFont val="Calibri"/>
        <family val="2"/>
        <scheme val="minor"/>
      </rPr>
      <t>abs</t>
    </r>
  </si>
  <si>
    <r>
      <rPr>
        <b/>
        <sz val="16"/>
        <rFont val="Calibri"/>
        <family val="2"/>
        <scheme val="minor"/>
      </rPr>
      <t>Ca</t>
    </r>
    <r>
      <rPr>
        <b/>
        <sz val="20"/>
        <rFont val="Calibri"/>
        <family val="2"/>
        <scheme val="minor"/>
      </rPr>
      <t xml:space="preserve"> </t>
    </r>
    <r>
      <rPr>
        <i/>
        <vertAlign val="subscript"/>
        <sz val="20"/>
        <rFont val="Calibri"/>
        <family val="2"/>
        <scheme val="minor"/>
      </rPr>
      <t>abs</t>
    </r>
  </si>
  <si>
    <r>
      <rPr>
        <b/>
        <sz val="20"/>
        <color rgb="FFC00000"/>
        <rFont val="Calibri"/>
        <family val="2"/>
        <scheme val="minor"/>
      </rPr>
      <t>Prévision de la valeur alimentaire d'un concentré du commerce</t>
    </r>
    <r>
      <rPr>
        <i/>
        <sz val="18"/>
        <color rgb="FFC00000"/>
        <rFont val="Calibri"/>
        <family val="2"/>
        <scheme val="minor"/>
      </rPr>
      <t xml:space="preserve">                                                            </t>
    </r>
    <r>
      <rPr>
        <i/>
        <sz val="20"/>
        <color rgb="FFC00000"/>
        <rFont val="Calibri"/>
        <family val="2"/>
        <scheme val="minor"/>
      </rPr>
      <t xml:space="preserve">(à partir des constituants analytiques) </t>
    </r>
  </si>
  <si>
    <t xml:space="preserve">Valeurs d'analyse pour 100 g  </t>
  </si>
  <si>
    <t>PREVISION</t>
  </si>
  <si>
    <r>
      <t xml:space="preserve">Saisie de mes  </t>
    </r>
    <r>
      <rPr>
        <b/>
        <i/>
        <sz val="11"/>
        <color theme="1"/>
        <rFont val="Calibri"/>
        <family val="2"/>
        <scheme val="minor"/>
      </rPr>
      <t>nouveaux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aliments</t>
    </r>
  </si>
  <si>
    <t xml:space="preserve"> Nouveaux</t>
  </si>
  <si>
    <r>
      <t xml:space="preserve">Jours d'avance de </t>
    </r>
    <r>
      <rPr>
        <b/>
        <i/>
        <sz val="11"/>
        <color theme="1"/>
        <rFont val="Calibri"/>
        <family val="2"/>
        <scheme val="minor"/>
      </rPr>
      <t>pâturage</t>
    </r>
  </si>
  <si>
    <r>
      <rPr>
        <b/>
        <i/>
        <sz val="11"/>
        <color indexed="8"/>
        <rFont val="Calibri"/>
        <family val="2"/>
      </rPr>
      <t>Formulation</t>
    </r>
    <r>
      <rPr>
        <i/>
        <sz val="11"/>
        <color indexed="8"/>
        <rFont val="Calibri"/>
        <family val="2"/>
      </rPr>
      <t xml:space="preserve"> d'aliment et coût de concentré</t>
    </r>
  </si>
  <si>
    <r>
      <rPr>
        <b/>
        <i/>
        <sz val="11"/>
        <color theme="1"/>
        <rFont val="Calibri"/>
        <family val="2"/>
        <scheme val="minor"/>
      </rPr>
      <t>Prévision</t>
    </r>
    <r>
      <rPr>
        <i/>
        <sz val="11"/>
        <color theme="1"/>
        <rFont val="Calibri"/>
        <family val="2"/>
        <scheme val="minor"/>
      </rPr>
      <t xml:space="preserve"> de la valeur alimentaire des aliments du commerce</t>
    </r>
  </si>
  <si>
    <t>Rendement (t MS/ha)</t>
  </si>
  <si>
    <t>OU</t>
  </si>
  <si>
    <t xml:space="preserve">  OU</t>
  </si>
  <si>
    <r>
      <t xml:space="preserve">Saisissez les surfaces et les rendements </t>
    </r>
    <r>
      <rPr>
        <b/>
        <i/>
        <sz val="16"/>
        <rFont val="Calibri"/>
        <family val="2"/>
        <scheme val="minor"/>
      </rPr>
      <t xml:space="preserve">ou </t>
    </r>
    <r>
      <rPr>
        <i/>
        <sz val="16"/>
        <rFont val="Calibri"/>
        <family val="2"/>
        <scheme val="minor"/>
      </rPr>
      <t>les quantités (en bottes ou m</t>
    </r>
    <r>
      <rPr>
        <i/>
        <vertAlign val="superscript"/>
        <sz val="16"/>
        <rFont val="Calibri"/>
        <family val="2"/>
        <scheme val="minor"/>
      </rPr>
      <t>3</t>
    </r>
    <r>
      <rPr>
        <i/>
        <sz val="16"/>
        <rFont val="Calibri"/>
        <family val="2"/>
        <scheme val="minor"/>
      </rPr>
      <t>)</t>
    </r>
  </si>
  <si>
    <t>Saisissez la surface et le nombre d'animaux.             Saisir les hauteurs d'herbe mesurées et prévues</t>
  </si>
  <si>
    <t>densité</t>
  </si>
  <si>
    <t>de la</t>
  </si>
  <si>
    <t>prairie</t>
  </si>
  <si>
    <t>Valeurs d'analyse</t>
  </si>
  <si>
    <t xml:space="preserve"> MS</t>
  </si>
  <si>
    <t xml:space="preserve">   UFL</t>
  </si>
  <si>
    <t>Formulation d'aliment et coût</t>
  </si>
  <si>
    <t>Répartition des matières premières</t>
  </si>
  <si>
    <r>
      <t xml:space="preserve">                   </t>
    </r>
    <r>
      <rPr>
        <sz val="20"/>
        <color theme="1"/>
        <rFont val="Calibri"/>
        <family val="2"/>
        <scheme val="minor"/>
      </rPr>
      <t xml:space="preserve">zone de </t>
    </r>
    <r>
      <rPr>
        <b/>
        <sz val="20"/>
        <color theme="1"/>
        <rFont val="Calibri"/>
        <family val="2"/>
        <scheme val="minor"/>
      </rPr>
      <t>Plaine</t>
    </r>
    <r>
      <rPr>
        <b/>
        <i/>
        <sz val="20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(Normandie)</t>
    </r>
    <r>
      <rPr>
        <i/>
        <sz val="20"/>
        <color theme="1"/>
        <rFont val="Calibri"/>
        <family val="2"/>
        <scheme val="minor"/>
      </rPr>
      <t xml:space="preserve">                </t>
    </r>
    <r>
      <rPr>
        <sz val="20"/>
        <color theme="1"/>
        <rFont val="Calibri"/>
        <family val="2"/>
        <scheme val="minor"/>
      </rPr>
      <t xml:space="preserve">zone de </t>
    </r>
    <r>
      <rPr>
        <b/>
        <sz val="20"/>
        <color theme="1"/>
        <rFont val="Calibri"/>
        <family val="2"/>
        <scheme val="minor"/>
      </rPr>
      <t>Demi-montagne</t>
    </r>
    <r>
      <rPr>
        <b/>
        <i/>
        <sz val="20"/>
        <color theme="1"/>
        <rFont val="Calibri"/>
        <family val="2"/>
        <scheme val="minor"/>
      </rPr>
      <t xml:space="preserve"> </t>
    </r>
    <r>
      <rPr>
        <i/>
        <sz val="14"/>
        <color theme="1"/>
        <rFont val="Calibri"/>
        <family val="2"/>
        <scheme val="minor"/>
      </rPr>
      <t>(Auvergne)</t>
    </r>
  </si>
  <si>
    <t>Tourteau de soja</t>
  </si>
  <si>
    <t>Luzerne déshydratée</t>
  </si>
  <si>
    <t>CMV 5 - 22</t>
  </si>
  <si>
    <r>
      <rPr>
        <b/>
        <sz val="48"/>
        <color indexed="13"/>
        <rFont val="Viner Hand ITC"/>
        <family val="4"/>
      </rPr>
      <t>ALIM</t>
    </r>
    <r>
      <rPr>
        <i/>
        <sz val="48"/>
        <color indexed="13"/>
        <rFont val="Calibri"/>
        <family val="2"/>
      </rPr>
      <t>'</t>
    </r>
    <r>
      <rPr>
        <i/>
        <sz val="36"/>
        <color indexed="60"/>
        <rFont val="Kristen ITC"/>
        <family val="4"/>
      </rPr>
      <t>ovins</t>
    </r>
    <r>
      <rPr>
        <i/>
        <sz val="12"/>
        <color indexed="8"/>
        <rFont val="Calibri"/>
        <family val="2"/>
      </rPr>
      <t>(v. 5.1)</t>
    </r>
    <r>
      <rPr>
        <sz val="12"/>
        <color indexed="8"/>
        <rFont val="Calibri"/>
        <family val="2"/>
      </rPr>
      <t xml:space="preserve"> </t>
    </r>
  </si>
  <si>
    <r>
      <rPr>
        <b/>
        <sz val="48"/>
        <color indexed="22"/>
        <rFont val="Viner Hand ITC"/>
        <family val="4"/>
      </rPr>
      <t>ALIM</t>
    </r>
    <r>
      <rPr>
        <i/>
        <sz val="48"/>
        <color indexed="22"/>
        <rFont val="Calibri"/>
        <family val="2"/>
      </rPr>
      <t>'</t>
    </r>
    <r>
      <rPr>
        <i/>
        <sz val="36"/>
        <color indexed="8"/>
        <rFont val="Kristen ITC"/>
        <family val="4"/>
      </rPr>
      <t>ovins</t>
    </r>
    <r>
      <rPr>
        <i/>
        <sz val="12"/>
        <color indexed="8"/>
        <rFont val="Calibri"/>
        <family val="2"/>
      </rPr>
      <t>(v. 5.1)</t>
    </r>
    <r>
      <rPr>
        <sz val="12"/>
        <color indexed="8"/>
        <rFont val="Calibri"/>
        <family val="2"/>
      </rPr>
      <t xml:space="preserve"> </t>
    </r>
  </si>
  <si>
    <t>Cu</t>
  </si>
  <si>
    <r>
      <rPr>
        <b/>
        <sz val="36"/>
        <color indexed="22"/>
        <rFont val="Viner Hand ITC"/>
        <family val="4"/>
      </rPr>
      <t>ALIM</t>
    </r>
    <r>
      <rPr>
        <i/>
        <sz val="36"/>
        <color indexed="22"/>
        <rFont val="Calibri"/>
        <family val="2"/>
      </rPr>
      <t>'</t>
    </r>
    <r>
      <rPr>
        <i/>
        <sz val="24"/>
        <color indexed="8"/>
        <rFont val="Kristen ITC"/>
        <family val="4"/>
      </rPr>
      <t xml:space="preserve">ovins </t>
    </r>
    <r>
      <rPr>
        <i/>
        <sz val="12"/>
        <color indexed="8"/>
        <rFont val="Calibri"/>
        <family val="2"/>
        <scheme val="minor"/>
      </rPr>
      <t>(</t>
    </r>
    <r>
      <rPr>
        <i/>
        <sz val="10"/>
        <color indexed="8"/>
        <rFont val="Calibri"/>
        <family val="2"/>
        <scheme val="minor"/>
      </rPr>
      <t>v. 5.1)</t>
    </r>
  </si>
  <si>
    <r>
      <t xml:space="preserve">Version utilisable avec </t>
    </r>
    <r>
      <rPr>
        <b/>
        <sz val="16"/>
        <color theme="1"/>
        <rFont val="Calibri"/>
        <family val="2"/>
        <scheme val="minor"/>
      </rPr>
      <t>Microsoft®</t>
    </r>
    <r>
      <rPr>
        <sz val="16"/>
        <color theme="1"/>
        <rFont val="Calibri"/>
        <family val="2"/>
        <scheme val="minor"/>
      </rPr>
      <t xml:space="preserve"> </t>
    </r>
    <r>
      <rPr>
        <i/>
        <sz val="16"/>
        <color theme="1"/>
        <rFont val="Calibri"/>
        <family val="2"/>
        <scheme val="minor"/>
      </rPr>
      <t>Excel 2010 et au-delà</t>
    </r>
  </si>
  <si>
    <t>Fabrice RANOUX - Lycée Agricole du Bourbonnais - BP 1721 - 03017 MOULINS cedex - Tous droits réservés</t>
  </si>
  <si>
    <t>1er cycle début épiaison (25/05)</t>
  </si>
  <si>
    <t>1er cycle  épaison (10/06)</t>
  </si>
  <si>
    <t>1er cycle début floraison (20/06)</t>
  </si>
  <si>
    <t>ACL 40</t>
  </si>
  <si>
    <t>Fibres</t>
  </si>
  <si>
    <t>Luzerne (foin)</t>
  </si>
  <si>
    <t>Foin (prairies)</t>
  </si>
  <si>
    <t>Paille de céréales</t>
  </si>
  <si>
    <t>OVIMASH Bélier</t>
  </si>
  <si>
    <t>Gestante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</si>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</sst>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€&quot;* #,##0.00_);_(&quot;€&quot;* \(#,##0.00\);_(&quot;€&quot;* &quot;-&quot;??_);_(@_)"/>
    <numFmt numFmtId="165" formatCode="0.0"/>
    <numFmt numFmtId="166" formatCode="_-* #,##0\ &quot;€&quot;_-;\-* #,##0\ &quot;€&quot;_-;_-* &quot;-&quot;??\ &quot;€&quot;_-;_-@_-"/>
    <numFmt numFmtId="167" formatCode="0.000"/>
    <numFmt numFmtId="168" formatCode="0.0%"/>
    <numFmt numFmtId="169" formatCode="0.00_ "/>
    <numFmt numFmtId="170" formatCode="0_ "/>
    <numFmt numFmtId="171" formatCode="_(&quot;€&quot;* #,##0.000_);_(&quot;€&quot;* \(#,##0.000\);_(&quot;€&quot;* &quot;-&quot;??_);_(@_)"/>
    <numFmt numFmtId="172" formatCode="0.0000"/>
  </numFmts>
  <fonts count="19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i/>
      <sz val="10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i/>
      <sz val="10"/>
      <color indexed="8"/>
      <name val="Calibri"/>
      <family val="2"/>
    </font>
    <font>
      <b/>
      <vertAlign val="subscript"/>
      <sz val="12"/>
      <color indexed="8"/>
      <name val="Calibri"/>
      <family val="2"/>
    </font>
    <font>
      <i/>
      <sz val="20"/>
      <name val="Calibri"/>
      <family val="2"/>
    </font>
    <font>
      <i/>
      <sz val="14"/>
      <color indexed="8"/>
      <name val="Calibri"/>
      <family val="2"/>
    </font>
    <font>
      <b/>
      <i/>
      <sz val="8"/>
      <color indexed="8"/>
      <name val="Calibri"/>
      <family val="2"/>
    </font>
    <font>
      <b/>
      <sz val="16"/>
      <color indexed="30"/>
      <name val="Calibri"/>
      <family val="2"/>
    </font>
    <font>
      <b/>
      <sz val="14"/>
      <color indexed="17"/>
      <name val="Calibri"/>
      <family val="2"/>
    </font>
    <font>
      <i/>
      <sz val="8"/>
      <color indexed="8"/>
      <name val="Calibri"/>
      <family val="2"/>
    </font>
    <font>
      <b/>
      <sz val="10"/>
      <name val="Calibri"/>
      <family val="2"/>
    </font>
    <font>
      <b/>
      <sz val="14"/>
      <color indexed="8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i/>
      <sz val="11"/>
      <color indexed="8"/>
      <name val="Calibri"/>
      <family val="2"/>
    </font>
    <font>
      <b/>
      <sz val="14"/>
      <name val="Calibri"/>
      <family val="2"/>
    </font>
    <font>
      <b/>
      <i/>
      <sz val="10"/>
      <color indexed="60"/>
      <name val="Calibri"/>
      <family val="2"/>
    </font>
    <font>
      <b/>
      <sz val="20"/>
      <color indexed="60"/>
      <name val="Calibri"/>
      <family val="2"/>
    </font>
    <font>
      <b/>
      <sz val="48"/>
      <color indexed="13"/>
      <name val="Viner Hand ITC"/>
      <family val="4"/>
    </font>
    <font>
      <i/>
      <sz val="48"/>
      <color indexed="13"/>
      <name val="Calibri"/>
      <family val="2"/>
    </font>
    <font>
      <i/>
      <sz val="18"/>
      <name val="Calibri"/>
      <family val="2"/>
    </font>
    <font>
      <i/>
      <sz val="12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0"/>
      <name val="Calibri"/>
      <family val="2"/>
    </font>
    <font>
      <i/>
      <sz val="24"/>
      <name val="Calibri"/>
      <family val="2"/>
    </font>
    <font>
      <i/>
      <sz val="36"/>
      <color indexed="60"/>
      <name val="Kristen ITC"/>
      <family val="4"/>
    </font>
    <font>
      <b/>
      <sz val="10"/>
      <color indexed="8"/>
      <name val="Calibri"/>
      <family val="2"/>
    </font>
    <font>
      <i/>
      <sz val="12"/>
      <name val="Calibri"/>
      <family val="2"/>
    </font>
    <font>
      <i/>
      <sz val="14"/>
      <name val="Calibri"/>
      <family val="2"/>
    </font>
    <font>
      <b/>
      <i/>
      <sz val="20"/>
      <color indexed="60"/>
      <name val="Calibri"/>
      <family val="2"/>
    </font>
    <font>
      <sz val="20"/>
      <color indexed="8"/>
      <name val="Calibri"/>
      <family val="2"/>
    </font>
    <font>
      <sz val="20"/>
      <color indexed="8"/>
      <name val="Calibri"/>
      <family val="2"/>
    </font>
    <font>
      <b/>
      <sz val="48"/>
      <color indexed="22"/>
      <name val="Viner Hand ITC"/>
      <family val="4"/>
    </font>
    <font>
      <i/>
      <sz val="48"/>
      <color indexed="22"/>
      <name val="Calibri"/>
      <family val="2"/>
    </font>
    <font>
      <b/>
      <i/>
      <sz val="11"/>
      <color indexed="9"/>
      <name val="Calibri"/>
      <family val="2"/>
    </font>
    <font>
      <b/>
      <i/>
      <sz val="11"/>
      <color indexed="62"/>
      <name val="Calibri"/>
      <family val="2"/>
    </font>
    <font>
      <i/>
      <sz val="36"/>
      <color indexed="8"/>
      <name val="Kristen ITC"/>
      <family val="4"/>
    </font>
    <font>
      <b/>
      <vertAlign val="subscript"/>
      <sz val="14"/>
      <color indexed="8"/>
      <name val="Calibri"/>
      <family val="2"/>
    </font>
    <font>
      <b/>
      <sz val="36"/>
      <color indexed="22"/>
      <name val="Viner Hand ITC"/>
      <family val="4"/>
    </font>
    <font>
      <i/>
      <sz val="36"/>
      <color indexed="22"/>
      <name val="Calibri"/>
      <family val="2"/>
    </font>
    <font>
      <i/>
      <sz val="24"/>
      <color indexed="8"/>
      <name val="Kristen ITC"/>
      <family val="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Impact"/>
      <family val="2"/>
    </font>
    <font>
      <b/>
      <i/>
      <sz val="16"/>
      <color rgb="FFFF0000"/>
      <name val="Calibri"/>
      <family val="2"/>
      <scheme val="minor"/>
    </font>
    <font>
      <b/>
      <sz val="26"/>
      <color rgb="FFFFFF0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0"/>
      <color theme="1"/>
      <name val="Calibri"/>
      <family val="2"/>
    </font>
    <font>
      <b/>
      <sz val="11"/>
      <color rgb="FFFFFF00"/>
      <name val="Wingdings"/>
      <charset val="2"/>
    </font>
    <font>
      <sz val="16"/>
      <color theme="1"/>
      <name val="Script"/>
      <family val="4"/>
      <charset val="255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i/>
      <sz val="20"/>
      <color rgb="FFC00000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36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4"/>
      <name val="Calibri"/>
      <family val="2"/>
      <scheme val="minor"/>
    </font>
    <font>
      <i/>
      <sz val="16"/>
      <color theme="3"/>
      <name val="Calibri"/>
      <family val="2"/>
      <scheme val="minor"/>
    </font>
    <font>
      <b/>
      <i/>
      <sz val="16"/>
      <color theme="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b/>
      <i/>
      <sz val="14"/>
      <color theme="3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20"/>
      <name val="Calibri"/>
      <family val="2"/>
      <scheme val="minor"/>
    </font>
    <font>
      <b/>
      <sz val="20"/>
      <color rgb="FFC00000"/>
      <name val="Calibri"/>
      <family val="2"/>
    </font>
    <font>
      <i/>
      <sz val="14"/>
      <color rgb="FFC00000"/>
      <name val="Calibri"/>
      <family val="2"/>
      <scheme val="minor"/>
    </font>
    <font>
      <b/>
      <sz val="18"/>
      <color rgb="FFFFFF00"/>
      <name val="Franklin Gothic Medium Cond"/>
      <family val="2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20"/>
      <color theme="1"/>
      <name val="Calibri"/>
      <family val="2"/>
      <scheme val="minor"/>
    </font>
    <font>
      <i/>
      <sz val="14"/>
      <color theme="3"/>
      <name val="Calibri"/>
      <family val="2"/>
      <scheme val="minor"/>
    </font>
    <font>
      <b/>
      <sz val="16"/>
      <color theme="1"/>
      <name val="Calibri"/>
      <family val="2"/>
    </font>
    <font>
      <i/>
      <sz val="8"/>
      <color theme="1"/>
      <name val="Calibri"/>
      <family val="2"/>
      <scheme val="minor"/>
    </font>
    <font>
      <b/>
      <sz val="20"/>
      <name val="Calibri"/>
      <family val="2"/>
      <scheme val="minor"/>
    </font>
    <font>
      <i/>
      <sz val="8"/>
      <name val="Calibri"/>
      <family val="2"/>
    </font>
    <font>
      <vertAlign val="subscript"/>
      <sz val="11"/>
      <name val="Calibri"/>
      <family val="2"/>
    </font>
    <font>
      <i/>
      <sz val="14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20"/>
      <color rgb="FFC00000"/>
      <name val="Kristen ITC"/>
      <family val="4"/>
    </font>
    <font>
      <b/>
      <sz val="18"/>
      <color rgb="FFFF0000"/>
      <name val="Calibri"/>
      <family val="2"/>
      <scheme val="minor"/>
    </font>
    <font>
      <i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rgb="FFFF0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16"/>
      <color rgb="FFFF0000"/>
      <name val="Calibri"/>
      <family val="2"/>
      <scheme val="minor"/>
    </font>
    <font>
      <b/>
      <sz val="18"/>
      <color indexed="10"/>
      <name val="Calibri"/>
      <family val="2"/>
    </font>
    <font>
      <sz val="8"/>
      <color rgb="FF000000"/>
      <name val="Tahoma"/>
      <family val="2"/>
    </font>
    <font>
      <i/>
      <vertAlign val="subscript"/>
      <sz val="12"/>
      <color theme="1"/>
      <name val="Calibri"/>
      <family val="2"/>
      <scheme val="minor"/>
    </font>
    <font>
      <i/>
      <sz val="16"/>
      <color indexed="8"/>
      <name val="Calibri"/>
      <family val="2"/>
    </font>
    <font>
      <sz val="16"/>
      <color rgb="FFC00000"/>
      <name val="Calibri"/>
      <family val="2"/>
      <scheme val="minor"/>
    </font>
    <font>
      <sz val="8"/>
      <color indexed="8"/>
      <name val="Calibri"/>
      <family val="2"/>
    </font>
    <font>
      <b/>
      <sz val="14"/>
      <color theme="1"/>
      <name val="Calibri"/>
      <family val="2"/>
    </font>
    <font>
      <b/>
      <i/>
      <sz val="18"/>
      <color theme="3" tint="-0.249977111117893"/>
      <name val="Calibri"/>
      <family val="2"/>
      <scheme val="minor"/>
    </font>
    <font>
      <b/>
      <i/>
      <sz val="20"/>
      <color rgb="FFC00000"/>
      <name val="Calibri"/>
      <family val="2"/>
      <scheme val="minor"/>
    </font>
    <font>
      <b/>
      <i/>
      <sz val="24"/>
      <color rgb="FFC00000"/>
      <name val="Calibri"/>
      <family val="2"/>
      <scheme val="minor"/>
    </font>
    <font>
      <b/>
      <i/>
      <sz val="24"/>
      <color rgb="FFC00000"/>
      <name val="Calibri"/>
      <family val="2"/>
    </font>
    <font>
      <i/>
      <u/>
      <sz val="16"/>
      <color theme="1"/>
      <name val="Calibri"/>
      <family val="2"/>
      <scheme val="minor"/>
    </font>
    <font>
      <sz val="14"/>
      <name val="Calibri"/>
      <family val="2"/>
    </font>
    <font>
      <b/>
      <sz val="28"/>
      <color rgb="FFC00000"/>
      <name val="Calibri"/>
      <family val="2"/>
      <scheme val="minor"/>
    </font>
    <font>
      <b/>
      <sz val="20"/>
      <color rgb="FFC00000"/>
      <name val="Kristen ITC"/>
      <family val="4"/>
    </font>
    <font>
      <vertAlign val="superscript"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i/>
      <sz val="20"/>
      <color rgb="FFC00000"/>
      <name val="Kristen ITC"/>
      <family val="4"/>
    </font>
    <font>
      <b/>
      <sz val="24"/>
      <color rgb="FFC00000"/>
      <name val="Calibri"/>
      <family val="2"/>
      <scheme val="minor"/>
    </font>
    <font>
      <i/>
      <sz val="18"/>
      <name val="Calibri"/>
      <family val="2"/>
      <scheme val="minor"/>
    </font>
    <font>
      <sz val="10"/>
      <color theme="1"/>
      <name val="Arial Unicode MS"/>
      <family val="2"/>
    </font>
    <font>
      <i/>
      <sz val="16"/>
      <name val="Calibri"/>
      <family val="2"/>
    </font>
    <font>
      <sz val="11"/>
      <color theme="0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sz val="16"/>
      <color rgb="FF0070C0"/>
      <name val="Calibri"/>
      <family val="2"/>
    </font>
    <font>
      <i/>
      <sz val="16"/>
      <color rgb="FF0070C0"/>
      <name val="Calibri"/>
      <family val="2"/>
    </font>
    <font>
      <b/>
      <i/>
      <sz val="16"/>
      <color rgb="FF0070C0"/>
      <name val="Calibri"/>
      <family val="2"/>
    </font>
    <font>
      <i/>
      <sz val="48"/>
      <name val="Calibri"/>
      <family val="2"/>
    </font>
    <font>
      <b/>
      <sz val="48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i/>
      <sz val="12"/>
      <color indexed="8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000000"/>
      <name val="Segoe UI"/>
      <family val="2"/>
    </font>
    <font>
      <i/>
      <sz val="20"/>
      <color indexed="8"/>
      <name val="Calibri"/>
      <family val="2"/>
    </font>
    <font>
      <b/>
      <i/>
      <sz val="16"/>
      <name val="Calibri"/>
      <family val="2"/>
      <scheme val="minor"/>
    </font>
    <font>
      <sz val="16"/>
      <name val="Calibri"/>
      <family val="2"/>
      <scheme val="minor"/>
    </font>
    <font>
      <i/>
      <sz val="14"/>
      <color rgb="FFFF0000"/>
      <name val="Calibri"/>
      <family val="2"/>
      <scheme val="minor"/>
    </font>
    <font>
      <b/>
      <sz val="20"/>
      <color rgb="FF92D05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i/>
      <sz val="18"/>
      <color rgb="FFC00000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sz val="14"/>
      <name val="Calibri"/>
      <family val="2"/>
      <scheme val="minor"/>
    </font>
    <font>
      <i/>
      <vertAlign val="subscript"/>
      <sz val="20"/>
      <name val="Calibri"/>
      <family val="2"/>
      <scheme val="minor"/>
    </font>
    <font>
      <i/>
      <sz val="20"/>
      <color rgb="FFC00000"/>
      <name val="Calibri"/>
      <family val="2"/>
      <scheme val="minor"/>
    </font>
    <font>
      <b/>
      <sz val="16"/>
      <color theme="3" tint="-0.499984740745262"/>
      <name val="Calibri"/>
      <family val="2"/>
    </font>
    <font>
      <i/>
      <vertAlign val="superscript"/>
      <sz val="16"/>
      <name val="Calibri"/>
      <family val="2"/>
      <scheme val="minor"/>
    </font>
    <font>
      <sz val="16"/>
      <color rgb="FF92D050"/>
      <name val="Calibri"/>
      <family val="2"/>
      <scheme val="minor"/>
    </font>
    <font>
      <b/>
      <sz val="20"/>
      <color indexed="10"/>
      <name val="Calibri"/>
      <family val="2"/>
      <scheme val="minor"/>
    </font>
    <font>
      <b/>
      <sz val="14"/>
      <color indexed="10"/>
      <name val="Calibri"/>
      <family val="2"/>
      <scheme val="minor"/>
    </font>
    <font>
      <b/>
      <sz val="18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20"/>
      <color rgb="FF00206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5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</cellStyleXfs>
  <cellXfs count="1537">
    <xf numFmtId="0" fontId="0" fillId="0" borderId="0" xfId="0"/>
    <xf numFmtId="0" fontId="0" fillId="0" borderId="0" xfId="0" applyBorder="1"/>
    <xf numFmtId="0" fontId="0" fillId="0" borderId="0" xfId="0"/>
    <xf numFmtId="0" fontId="0" fillId="0" borderId="0" xfId="0"/>
    <xf numFmtId="0" fontId="0" fillId="3" borderId="0" xfId="0" applyFill="1" applyBorder="1"/>
    <xf numFmtId="0" fontId="53" fillId="3" borderId="0" xfId="0" applyFont="1" applyFill="1" applyBorder="1" applyAlignment="1">
      <alignment vertical="center"/>
    </xf>
    <xf numFmtId="0" fontId="54" fillId="3" borderId="0" xfId="0" applyFont="1" applyFill="1" applyBorder="1"/>
    <xf numFmtId="0" fontId="55" fillId="4" borderId="0" xfId="0" applyFont="1" applyFill="1" applyBorder="1" applyAlignment="1">
      <alignment horizontal="center"/>
    </xf>
    <xf numFmtId="0" fontId="56" fillId="4" borderId="0" xfId="0" applyFont="1" applyFill="1" applyBorder="1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57" fillId="3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4" fillId="0" borderId="0" xfId="0" applyFont="1" applyFill="1" applyAlignment="1">
      <alignment vertical="center" wrapText="1"/>
    </xf>
    <xf numFmtId="0" fontId="54" fillId="3" borderId="0" xfId="0" applyFont="1" applyFill="1" applyAlignment="1">
      <alignment vertical="center" wrapText="1"/>
    </xf>
    <xf numFmtId="0" fontId="54" fillId="3" borderId="0" xfId="0" applyFont="1" applyFill="1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57" fillId="3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57" fillId="3" borderId="6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54" fillId="3" borderId="7" xfId="0" applyFont="1" applyFill="1" applyBorder="1" applyAlignment="1">
      <alignment vertical="center" wrapText="1"/>
    </xf>
    <xf numFmtId="0" fontId="0" fillId="3" borderId="8" xfId="0" applyFill="1" applyBorder="1"/>
    <xf numFmtId="0" fontId="54" fillId="3" borderId="0" xfId="0" applyFont="1" applyFill="1"/>
    <xf numFmtId="0" fontId="0" fillId="3" borderId="6" xfId="0" applyFill="1" applyBorder="1"/>
    <xf numFmtId="0" fontId="0" fillId="3" borderId="9" xfId="0" applyFill="1" applyBorder="1"/>
    <xf numFmtId="0" fontId="54" fillId="3" borderId="2" xfId="0" applyFont="1" applyFill="1" applyBorder="1"/>
    <xf numFmtId="0" fontId="10" fillId="3" borderId="10" xfId="0" applyFont="1" applyFill="1" applyBorder="1" applyAlignment="1" applyProtection="1">
      <alignment vertical="top"/>
    </xf>
    <xf numFmtId="0" fontId="10" fillId="3" borderId="11" xfId="0" applyFont="1" applyFill="1" applyBorder="1" applyAlignment="1" applyProtection="1">
      <alignment vertical="top"/>
    </xf>
    <xf numFmtId="0" fontId="10" fillId="3" borderId="12" xfId="0" applyFont="1" applyFill="1" applyBorder="1" applyAlignment="1" applyProtection="1">
      <alignment vertical="top"/>
    </xf>
    <xf numFmtId="0" fontId="0" fillId="0" borderId="0" xfId="0"/>
    <xf numFmtId="0" fontId="0" fillId="3" borderId="0" xfId="0" applyFill="1" applyBorder="1"/>
    <xf numFmtId="0" fontId="53" fillId="3" borderId="0" xfId="0" applyFont="1" applyFill="1" applyBorder="1" applyAlignment="1">
      <alignment vertical="center"/>
    </xf>
    <xf numFmtId="0" fontId="0" fillId="3" borderId="0" xfId="0" applyFill="1"/>
    <xf numFmtId="0" fontId="58" fillId="3" borderId="0" xfId="0" applyFont="1" applyFill="1" applyBorder="1" applyAlignment="1">
      <alignment wrapText="1"/>
    </xf>
    <xf numFmtId="0" fontId="59" fillId="5" borderId="0" xfId="0" applyFont="1" applyFill="1" applyBorder="1" applyAlignment="1">
      <alignment horizontal="center" vertical="center"/>
    </xf>
    <xf numFmtId="0" fontId="55" fillId="5" borderId="0" xfId="0" applyFont="1" applyFill="1" applyBorder="1" applyAlignment="1">
      <alignment horizontal="center" vertical="center" wrapText="1"/>
    </xf>
    <xf numFmtId="0" fontId="60" fillId="5" borderId="0" xfId="0" applyFont="1" applyFill="1" applyBorder="1" applyAlignment="1">
      <alignment horizontal="center" vertical="center"/>
    </xf>
    <xf numFmtId="0" fontId="61" fillId="5" borderId="0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ill="1"/>
    <xf numFmtId="0" fontId="0" fillId="3" borderId="0" xfId="0" applyFill="1"/>
    <xf numFmtId="0" fontId="10" fillId="3" borderId="0" xfId="0" applyFont="1" applyFill="1" applyBorder="1" applyAlignment="1" applyProtection="1">
      <alignment horizontal="center"/>
    </xf>
    <xf numFmtId="0" fontId="0" fillId="3" borderId="0" xfId="0" applyFill="1" applyBorder="1"/>
    <xf numFmtId="0" fontId="0" fillId="3" borderId="0" xfId="0" applyFill="1"/>
    <xf numFmtId="165" fontId="6" fillId="4" borderId="1" xfId="0" applyNumberFormat="1" applyFont="1" applyFill="1" applyBorder="1" applyAlignment="1" applyProtection="1">
      <alignment horizontal="center" vertical="center"/>
    </xf>
    <xf numFmtId="165" fontId="6" fillId="4" borderId="14" xfId="0" applyNumberFormat="1" applyFont="1" applyFill="1" applyBorder="1" applyAlignment="1" applyProtection="1">
      <alignment horizontal="center" vertical="center"/>
    </xf>
    <xf numFmtId="2" fontId="15" fillId="6" borderId="16" xfId="0" applyNumberFormat="1" applyFont="1" applyFill="1" applyBorder="1" applyAlignment="1" applyProtection="1">
      <alignment vertical="center"/>
    </xf>
    <xf numFmtId="1" fontId="15" fillId="6" borderId="16" xfId="0" applyNumberFormat="1" applyFont="1" applyFill="1" applyBorder="1" applyAlignment="1" applyProtection="1">
      <alignment vertical="center"/>
    </xf>
    <xf numFmtId="165" fontId="15" fillId="6" borderId="16" xfId="0" applyNumberFormat="1" applyFont="1" applyFill="1" applyBorder="1" applyAlignment="1" applyProtection="1">
      <alignment vertical="center"/>
    </xf>
    <xf numFmtId="165" fontId="15" fillId="6" borderId="17" xfId="0" applyNumberFormat="1" applyFont="1" applyFill="1" applyBorder="1" applyAlignment="1" applyProtection="1">
      <alignment vertical="center"/>
    </xf>
    <xf numFmtId="0" fontId="7" fillId="4" borderId="18" xfId="0" applyFont="1" applyFill="1" applyBorder="1" applyAlignment="1" applyProtection="1">
      <alignment horizontal="center" vertical="center"/>
    </xf>
    <xf numFmtId="165" fontId="17" fillId="4" borderId="19" xfId="0" applyNumberFormat="1" applyFont="1" applyFill="1" applyBorder="1" applyAlignment="1" applyProtection="1">
      <alignment horizontal="center" vertical="center"/>
    </xf>
    <xf numFmtId="165" fontId="17" fillId="4" borderId="20" xfId="0" applyNumberFormat="1" applyFont="1" applyFill="1" applyBorder="1" applyAlignment="1" applyProtection="1">
      <alignment horizontal="center" vertical="center"/>
    </xf>
    <xf numFmtId="165" fontId="11" fillId="4" borderId="19" xfId="0" applyNumberFormat="1" applyFont="1" applyFill="1" applyBorder="1" applyAlignment="1" applyProtection="1">
      <alignment horizontal="right" vertical="center"/>
    </xf>
    <xf numFmtId="0" fontId="0" fillId="3" borderId="0" xfId="0" applyFill="1" applyProtection="1"/>
    <xf numFmtId="165" fontId="11" fillId="3" borderId="0" xfId="0" applyNumberFormat="1" applyFont="1" applyFill="1" applyBorder="1" applyAlignment="1" applyProtection="1">
      <alignment horizontal="right" vertical="center"/>
    </xf>
    <xf numFmtId="0" fontId="13" fillId="3" borderId="0" xfId="0" applyFont="1" applyFill="1" applyBorder="1" applyAlignment="1" applyProtection="1">
      <alignment horizontal="center" vertical="center"/>
      <protection locked="0"/>
    </xf>
    <xf numFmtId="165" fontId="6" fillId="3" borderId="0" xfId="0" applyNumberFormat="1" applyFont="1" applyFill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vertical="center"/>
    </xf>
    <xf numFmtId="0" fontId="14" fillId="3" borderId="0" xfId="0" applyFont="1" applyFill="1" applyBorder="1" applyAlignment="1" applyProtection="1">
      <alignment vertical="center" wrapText="1"/>
      <protection locked="0"/>
    </xf>
    <xf numFmtId="0" fontId="8" fillId="3" borderId="0" xfId="0" applyFont="1" applyFill="1" applyAlignment="1" applyProtection="1">
      <alignment vertical="top"/>
    </xf>
    <xf numFmtId="2" fontId="15" fillId="7" borderId="16" xfId="0" applyNumberFormat="1" applyFont="1" applyFill="1" applyBorder="1" applyAlignment="1" applyProtection="1">
      <alignment vertical="center"/>
    </xf>
    <xf numFmtId="165" fontId="6" fillId="7" borderId="13" xfId="0" applyNumberFormat="1" applyFont="1" applyFill="1" applyBorder="1" applyAlignment="1" applyProtection="1">
      <alignment horizontal="center" vertical="center"/>
    </xf>
    <xf numFmtId="165" fontId="6" fillId="7" borderId="1" xfId="0" applyNumberFormat="1" applyFont="1" applyFill="1" applyBorder="1" applyAlignment="1" applyProtection="1">
      <alignment horizontal="center" vertical="center"/>
    </xf>
    <xf numFmtId="2" fontId="6" fillId="7" borderId="1" xfId="0" applyNumberFormat="1" applyFont="1" applyFill="1" applyBorder="1" applyAlignment="1" applyProtection="1">
      <alignment horizontal="center" vertical="center"/>
    </xf>
    <xf numFmtId="2" fontId="15" fillId="7" borderId="1" xfId="0" applyNumberFormat="1" applyFont="1" applyFill="1" applyBorder="1" applyAlignment="1" applyProtection="1">
      <alignment vertical="center"/>
    </xf>
    <xf numFmtId="2" fontId="6" fillId="3" borderId="0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0" fillId="3" borderId="0" xfId="0" applyFill="1" applyBorder="1"/>
    <xf numFmtId="0" fontId="53" fillId="3" borderId="0" xfId="0" applyFont="1" applyFill="1" applyBorder="1" applyAlignment="1">
      <alignment vertical="center"/>
    </xf>
    <xf numFmtId="0" fontId="54" fillId="3" borderId="0" xfId="0" applyFont="1" applyFill="1" applyBorder="1"/>
    <xf numFmtId="165" fontId="6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horizontal="left" vertical="center" wrapText="1"/>
      <protection locked="0"/>
    </xf>
    <xf numFmtId="165" fontId="6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vertical="center"/>
    </xf>
    <xf numFmtId="165" fontId="11" fillId="0" borderId="0" xfId="0" applyNumberFormat="1" applyFont="1" applyFill="1" applyBorder="1" applyAlignment="1" applyProtection="1">
      <alignment horizontal="right" vertical="center"/>
    </xf>
    <xf numFmtId="1" fontId="11" fillId="0" borderId="0" xfId="0" applyNumberFormat="1" applyFont="1" applyFill="1" applyBorder="1" applyAlignment="1" applyProtection="1">
      <alignment horizontal="right" vertical="center"/>
    </xf>
    <xf numFmtId="0" fontId="14" fillId="0" borderId="0" xfId="0" applyFont="1" applyFill="1" applyBorder="1" applyAlignment="1" applyProtection="1">
      <alignment vertical="center" wrapText="1"/>
      <protection locked="0"/>
    </xf>
    <xf numFmtId="0" fontId="8" fillId="0" borderId="0" xfId="0" applyFont="1" applyFill="1" applyAlignment="1" applyProtection="1">
      <alignment vertical="top"/>
    </xf>
    <xf numFmtId="0" fontId="0" fillId="0" borderId="0" xfId="0" applyFill="1" applyBorder="1"/>
    <xf numFmtId="0" fontId="0" fillId="0" borderId="0" xfId="0" applyFill="1" applyProtection="1"/>
    <xf numFmtId="0" fontId="6" fillId="0" borderId="14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2" fontId="15" fillId="0" borderId="1" xfId="0" applyNumberFormat="1" applyFont="1" applyFill="1" applyBorder="1" applyAlignment="1" applyProtection="1">
      <alignment vertical="center"/>
    </xf>
    <xf numFmtId="165" fontId="15" fillId="0" borderId="1" xfId="0" applyNumberFormat="1" applyFont="1" applyFill="1" applyBorder="1" applyAlignment="1" applyProtection="1">
      <alignment vertical="center"/>
    </xf>
    <xf numFmtId="165" fontId="15" fillId="0" borderId="14" xfId="0" applyNumberFormat="1" applyFont="1" applyFill="1" applyBorder="1" applyAlignment="1" applyProtection="1">
      <alignment vertical="center"/>
    </xf>
    <xf numFmtId="2" fontId="6" fillId="0" borderId="1" xfId="0" applyNumberFormat="1" applyFont="1" applyFill="1" applyBorder="1" applyAlignment="1" applyProtection="1">
      <alignment horizontal="center" vertical="center"/>
    </xf>
    <xf numFmtId="165" fontId="6" fillId="0" borderId="14" xfId="0" applyNumberFormat="1" applyFont="1" applyFill="1" applyBorder="1" applyAlignment="1" applyProtection="1">
      <alignment horizontal="center" vertical="center"/>
    </xf>
    <xf numFmtId="1" fontId="15" fillId="0" borderId="1" xfId="0" applyNumberFormat="1" applyFont="1" applyFill="1" applyBorder="1" applyAlignment="1" applyProtection="1">
      <alignment vertical="center"/>
    </xf>
    <xf numFmtId="165" fontId="6" fillId="0" borderId="13" xfId="0" applyNumberFormat="1" applyFont="1" applyFill="1" applyBorder="1" applyAlignment="1" applyProtection="1">
      <alignment horizontal="center" vertical="center"/>
    </xf>
    <xf numFmtId="165" fontId="6" fillId="0" borderId="21" xfId="0" applyNumberFormat="1" applyFont="1" applyFill="1" applyBorder="1" applyAlignment="1" applyProtection="1">
      <alignment horizontal="center" vertical="center"/>
    </xf>
    <xf numFmtId="165" fontId="11" fillId="0" borderId="19" xfId="0" applyNumberFormat="1" applyFont="1" applyFill="1" applyBorder="1" applyAlignment="1" applyProtection="1">
      <alignment horizontal="right" vertical="center"/>
    </xf>
    <xf numFmtId="165" fontId="15" fillId="0" borderId="16" xfId="0" applyNumberFormat="1" applyFont="1" applyFill="1" applyBorder="1" applyAlignment="1" applyProtection="1">
      <alignment vertical="center"/>
    </xf>
    <xf numFmtId="165" fontId="15" fillId="0" borderId="17" xfId="0" applyNumberFormat="1" applyFont="1" applyFill="1" applyBorder="1" applyAlignment="1" applyProtection="1">
      <alignment vertical="center"/>
    </xf>
    <xf numFmtId="0" fontId="0" fillId="3" borderId="0" xfId="0" applyFill="1"/>
    <xf numFmtId="0" fontId="19" fillId="0" borderId="15" xfId="0" applyFont="1" applyFill="1" applyBorder="1" applyAlignment="1" applyProtection="1">
      <alignment horizontal="center" vertical="center"/>
      <protection locked="0"/>
    </xf>
    <xf numFmtId="0" fontId="7" fillId="0" borderId="18" xfId="0" applyFont="1" applyFill="1" applyBorder="1" applyAlignment="1" applyProtection="1">
      <alignment horizontal="center" vertical="center"/>
    </xf>
    <xf numFmtId="165" fontId="17" fillId="0" borderId="19" xfId="0" applyNumberFormat="1" applyFont="1" applyFill="1" applyBorder="1" applyAlignment="1" applyProtection="1">
      <alignment horizontal="center" vertical="center"/>
    </xf>
    <xf numFmtId="165" fontId="17" fillId="0" borderId="20" xfId="0" applyNumberFormat="1" applyFont="1" applyFill="1" applyBorder="1" applyAlignment="1" applyProtection="1">
      <alignment horizontal="center" vertical="center"/>
    </xf>
    <xf numFmtId="0" fontId="57" fillId="3" borderId="0" xfId="0" applyFont="1" applyFill="1" applyBorder="1"/>
    <xf numFmtId="0" fontId="52" fillId="0" borderId="0" xfId="0" applyFont="1" applyAlignment="1">
      <alignment horizontal="center"/>
    </xf>
    <xf numFmtId="0" fontId="0" fillId="3" borderId="0" xfId="0" applyFill="1" applyAlignment="1">
      <alignment horizontal="right"/>
    </xf>
    <xf numFmtId="0" fontId="62" fillId="3" borderId="0" xfId="0" applyFont="1" applyFill="1" applyAlignment="1">
      <alignment horizontal="right"/>
    </xf>
    <xf numFmtId="0" fontId="62" fillId="3" borderId="0" xfId="0" applyFont="1" applyFill="1"/>
    <xf numFmtId="0" fontId="21" fillId="0" borderId="13" xfId="0" applyFont="1" applyFill="1" applyBorder="1" applyAlignment="1" applyProtection="1">
      <alignment horizontal="center" vertical="center" wrapText="1"/>
      <protection locked="0"/>
    </xf>
    <xf numFmtId="0" fontId="63" fillId="3" borderId="0" xfId="0" applyFont="1" applyFill="1" applyAlignment="1">
      <alignment vertical="center"/>
    </xf>
    <xf numFmtId="0" fontId="57" fillId="3" borderId="0" xfId="0" applyFont="1" applyFill="1" applyAlignment="1"/>
    <xf numFmtId="0" fontId="57" fillId="3" borderId="0" xfId="0" applyFont="1" applyFill="1" applyAlignment="1">
      <alignment horizontal="right"/>
    </xf>
    <xf numFmtId="0" fontId="0" fillId="3" borderId="4" xfId="0" applyFill="1" applyBorder="1"/>
    <xf numFmtId="0" fontId="57" fillId="3" borderId="4" xfId="0" applyFont="1" applyFill="1" applyBorder="1" applyAlignment="1">
      <alignment horizontal="center" vertical="center"/>
    </xf>
    <xf numFmtId="0" fontId="54" fillId="3" borderId="4" xfId="0" applyFont="1" applyFill="1" applyBorder="1" applyAlignment="1">
      <alignment horizontal="center"/>
    </xf>
    <xf numFmtId="0" fontId="54" fillId="3" borderId="10" xfId="0" applyFont="1" applyFill="1" applyBorder="1" applyAlignment="1">
      <alignment vertical="center" wrapText="1"/>
    </xf>
    <xf numFmtId="0" fontId="64" fillId="3" borderId="0" xfId="0" applyFont="1" applyFill="1" applyBorder="1" applyAlignment="1">
      <alignment horizontal="center" vertical="center" wrapText="1"/>
    </xf>
    <xf numFmtId="2" fontId="15" fillId="0" borderId="16" xfId="0" applyNumberFormat="1" applyFont="1" applyFill="1" applyBorder="1" applyAlignment="1" applyProtection="1">
      <alignment vertical="center"/>
    </xf>
    <xf numFmtId="1" fontId="15" fillId="0" borderId="16" xfId="0" applyNumberFormat="1" applyFont="1" applyFill="1" applyBorder="1" applyAlignment="1" applyProtection="1">
      <alignment vertical="center"/>
    </xf>
    <xf numFmtId="2" fontId="6" fillId="0" borderId="0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0" fillId="3" borderId="0" xfId="0" applyFill="1" applyBorder="1"/>
    <xf numFmtId="0" fontId="53" fillId="3" borderId="0" xfId="0" applyFont="1" applyFill="1" applyBorder="1" applyAlignment="1">
      <alignment vertical="center"/>
    </xf>
    <xf numFmtId="0" fontId="0" fillId="0" borderId="0" xfId="0" applyFill="1"/>
    <xf numFmtId="0" fontId="0" fillId="3" borderId="0" xfId="0" applyFill="1"/>
    <xf numFmtId="0" fontId="6" fillId="4" borderId="14" xfId="0" applyFont="1" applyFill="1" applyBorder="1" applyAlignment="1" applyProtection="1">
      <alignment horizontal="center" vertical="center"/>
    </xf>
    <xf numFmtId="2" fontId="15" fillId="6" borderId="1" xfId="0" applyNumberFormat="1" applyFont="1" applyFill="1" applyBorder="1" applyAlignment="1" applyProtection="1">
      <alignment vertical="center"/>
    </xf>
    <xf numFmtId="165" fontId="15" fillId="6" borderId="1" xfId="0" applyNumberFormat="1" applyFont="1" applyFill="1" applyBorder="1" applyAlignment="1" applyProtection="1">
      <alignment vertical="center"/>
    </xf>
    <xf numFmtId="165" fontId="15" fillId="6" borderId="14" xfId="0" applyNumberFormat="1" applyFont="1" applyFill="1" applyBorder="1" applyAlignment="1" applyProtection="1">
      <alignment vertical="center"/>
    </xf>
    <xf numFmtId="165" fontId="6" fillId="4" borderId="13" xfId="0" applyNumberFormat="1" applyFont="1" applyFill="1" applyBorder="1" applyAlignment="1" applyProtection="1">
      <alignment horizontal="center" vertical="center"/>
    </xf>
    <xf numFmtId="165" fontId="6" fillId="4" borderId="21" xfId="0" applyNumberFormat="1" applyFont="1" applyFill="1" applyBorder="1" applyAlignment="1" applyProtection="1">
      <alignment horizontal="center" vertical="center"/>
    </xf>
    <xf numFmtId="0" fontId="10" fillId="3" borderId="0" xfId="0" applyFont="1" applyFill="1" applyBorder="1" applyAlignment="1" applyProtection="1">
      <alignment vertical="top"/>
    </xf>
    <xf numFmtId="0" fontId="10" fillId="3" borderId="0" xfId="0" applyFont="1" applyFill="1" applyBorder="1" applyAlignment="1" applyProtection="1">
      <alignment horizontal="center" vertical="top"/>
    </xf>
    <xf numFmtId="0" fontId="0" fillId="3" borderId="0" xfId="0" applyFill="1" applyAlignment="1"/>
    <xf numFmtId="0" fontId="0" fillId="3" borderId="0" xfId="0" applyFill="1" applyBorder="1" applyAlignment="1"/>
    <xf numFmtId="17" fontId="0" fillId="0" borderId="0" xfId="0" applyNumberFormat="1"/>
    <xf numFmtId="0" fontId="66" fillId="3" borderId="0" xfId="0" applyFont="1" applyFill="1" applyBorder="1" applyAlignment="1">
      <alignment horizontal="center"/>
    </xf>
    <xf numFmtId="2" fontId="0" fillId="0" borderId="0" xfId="0" applyNumberFormat="1"/>
    <xf numFmtId="0" fontId="53" fillId="0" borderId="0" xfId="0" applyFont="1" applyAlignment="1">
      <alignment horizontal="center" vertical="center"/>
    </xf>
    <xf numFmtId="0" fontId="54" fillId="3" borderId="0" xfId="0" applyFont="1" applyFill="1" applyBorder="1" applyAlignment="1">
      <alignment horizontal="center"/>
    </xf>
    <xf numFmtId="0" fontId="68" fillId="3" borderId="2" xfId="0" applyFont="1" applyFill="1" applyBorder="1" applyAlignment="1">
      <alignment horizontal="center" vertical="center"/>
    </xf>
    <xf numFmtId="165" fontId="69" fillId="4" borderId="0" xfId="0" applyNumberFormat="1" applyFont="1" applyFill="1" applyBorder="1" applyAlignment="1">
      <alignment horizontal="center" vertical="center"/>
    </xf>
    <xf numFmtId="0" fontId="68" fillId="3" borderId="0" xfId="0" applyFont="1" applyFill="1" applyBorder="1" applyAlignment="1">
      <alignment horizontal="center" vertical="center"/>
    </xf>
    <xf numFmtId="0" fontId="66" fillId="3" borderId="4" xfId="0" applyFont="1" applyFill="1" applyBorder="1" applyAlignment="1"/>
    <xf numFmtId="0" fontId="66" fillId="3" borderId="6" xfId="0" applyFont="1" applyFill="1" applyBorder="1" applyAlignment="1">
      <alignment horizontal="center"/>
    </xf>
    <xf numFmtId="0" fontId="66" fillId="3" borderId="7" xfId="0" applyFont="1" applyFill="1" applyBorder="1" applyAlignment="1">
      <alignment horizontal="center"/>
    </xf>
    <xf numFmtId="0" fontId="71" fillId="3" borderId="0" xfId="0" applyFont="1" applyFill="1"/>
    <xf numFmtId="0" fontId="0" fillId="3" borderId="0" xfId="0" applyFill="1" applyBorder="1" applyAlignment="1">
      <alignment horizontal="center" vertical="center"/>
    </xf>
    <xf numFmtId="0" fontId="7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73" fillId="3" borderId="0" xfId="0" applyFont="1" applyFill="1" applyBorder="1" applyAlignment="1">
      <alignment vertical="center"/>
    </xf>
    <xf numFmtId="0" fontId="74" fillId="3" borderId="0" xfId="0" applyFont="1" applyFill="1" applyBorder="1" applyAlignment="1">
      <alignment horizontal="center" vertical="center"/>
    </xf>
    <xf numFmtId="0" fontId="70" fillId="3" borderId="4" xfId="0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</xf>
    <xf numFmtId="2" fontId="15" fillId="2" borderId="1" xfId="0" applyNumberFormat="1" applyFont="1" applyFill="1" applyBorder="1" applyAlignment="1">
      <alignment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65" fontId="0" fillId="0" borderId="0" xfId="0" applyNumberFormat="1" applyFill="1" applyBorder="1" applyAlignment="1" applyProtection="1">
      <alignment horizontal="center"/>
      <protection locked="0"/>
    </xf>
    <xf numFmtId="165" fontId="0" fillId="0" borderId="0" xfId="0" applyNumberForma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>
      <alignment horizontal="center" vertical="center"/>
    </xf>
    <xf numFmtId="165" fontId="15" fillId="3" borderId="0" xfId="0" applyNumberFormat="1" applyFont="1" applyFill="1" applyBorder="1" applyAlignment="1">
      <alignment vertical="center"/>
    </xf>
    <xf numFmtId="165" fontId="6" fillId="3" borderId="0" xfId="0" applyNumberFormat="1" applyFont="1" applyFill="1" applyBorder="1" applyAlignment="1">
      <alignment horizontal="center" vertical="center"/>
    </xf>
    <xf numFmtId="165" fontId="7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top"/>
    </xf>
    <xf numFmtId="0" fontId="8" fillId="3" borderId="0" xfId="0" applyFont="1" applyFill="1" applyAlignment="1">
      <alignment vertical="top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65" fontId="6" fillId="4" borderId="14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horizontal="center" vertical="center"/>
    </xf>
    <xf numFmtId="2" fontId="6" fillId="4" borderId="13" xfId="0" applyNumberFormat="1" applyFont="1" applyFill="1" applyBorder="1" applyAlignment="1">
      <alignment horizontal="center" vertical="center"/>
    </xf>
    <xf numFmtId="1" fontId="6" fillId="4" borderId="13" xfId="0" applyNumberFormat="1" applyFont="1" applyFill="1" applyBorder="1" applyAlignment="1">
      <alignment horizontal="center" vertical="center"/>
    </xf>
    <xf numFmtId="165" fontId="6" fillId="4" borderId="21" xfId="0" applyNumberFormat="1" applyFont="1" applyFill="1" applyBorder="1" applyAlignment="1">
      <alignment horizontal="center" vertical="center"/>
    </xf>
    <xf numFmtId="0" fontId="75" fillId="3" borderId="0" xfId="0" applyFont="1" applyFill="1" applyAlignment="1">
      <alignment horizontal="center" vertical="center"/>
    </xf>
    <xf numFmtId="0" fontId="76" fillId="3" borderId="0" xfId="0" applyFont="1" applyFill="1" applyBorder="1" applyAlignment="1">
      <alignment horizontal="center" vertical="center"/>
    </xf>
    <xf numFmtId="165" fontId="74" fillId="4" borderId="0" xfId="0" applyNumberFormat="1" applyFont="1" applyFill="1" applyBorder="1" applyAlignment="1">
      <alignment horizontal="center" vertical="center"/>
    </xf>
    <xf numFmtId="1" fontId="74" fillId="4" borderId="0" xfId="0" applyNumberFormat="1" applyFont="1" applyFill="1" applyBorder="1" applyAlignment="1">
      <alignment horizontal="center" vertical="center"/>
    </xf>
    <xf numFmtId="2" fontId="74" fillId="3" borderId="0" xfId="0" applyNumberFormat="1" applyFont="1" applyFill="1" applyBorder="1" applyAlignment="1">
      <alignment horizontal="center" vertical="center"/>
    </xf>
    <xf numFmtId="9" fontId="68" fillId="3" borderId="0" xfId="4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 vertical="center" wrapText="1"/>
    </xf>
    <xf numFmtId="0" fontId="72" fillId="4" borderId="0" xfId="0" applyFont="1" applyFill="1" applyBorder="1" applyAlignment="1">
      <alignment horizontal="center" vertical="center"/>
    </xf>
    <xf numFmtId="0" fontId="57" fillId="3" borderId="0" xfId="0" applyFont="1" applyFill="1"/>
    <xf numFmtId="0" fontId="77" fillId="3" borderId="0" xfId="0" applyFont="1" applyFill="1" applyBorder="1"/>
    <xf numFmtId="0" fontId="55" fillId="5" borderId="0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78" fillId="0" borderId="1" xfId="0" applyFont="1" applyBorder="1"/>
    <xf numFmtId="2" fontId="78" fillId="0" borderId="1" xfId="0" applyNumberFormat="1" applyFont="1" applyBorder="1"/>
    <xf numFmtId="1" fontId="78" fillId="0" borderId="1" xfId="0" applyNumberFormat="1" applyFont="1" applyBorder="1"/>
    <xf numFmtId="165" fontId="78" fillId="0" borderId="1" xfId="0" applyNumberFormat="1" applyFont="1" applyBorder="1"/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/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165" fontId="56" fillId="4" borderId="0" xfId="0" applyNumberFormat="1" applyFont="1" applyFill="1" applyBorder="1" applyAlignment="1">
      <alignment horizontal="center" vertical="center"/>
    </xf>
    <xf numFmtId="2" fontId="56" fillId="4" borderId="0" xfId="0" applyNumberFormat="1" applyFont="1" applyFill="1" applyBorder="1" applyAlignment="1">
      <alignment horizontal="center" vertical="center"/>
    </xf>
    <xf numFmtId="165" fontId="11" fillId="4" borderId="21" xfId="0" applyNumberFormat="1" applyFont="1" applyFill="1" applyBorder="1" applyAlignment="1" applyProtection="1">
      <alignment horizontal="center" vertical="center"/>
    </xf>
    <xf numFmtId="2" fontId="11" fillId="4" borderId="13" xfId="0" applyNumberFormat="1" applyFont="1" applyFill="1" applyBorder="1" applyAlignment="1" applyProtection="1">
      <alignment horizontal="center" vertical="center"/>
    </xf>
    <xf numFmtId="165" fontId="11" fillId="4" borderId="13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 applyAlignment="1"/>
    <xf numFmtId="0" fontId="0" fillId="0" borderId="0" xfId="0" applyFill="1" applyBorder="1" applyAlignment="1">
      <alignment vertical="center" wrapText="1"/>
    </xf>
    <xf numFmtId="0" fontId="0" fillId="0" borderId="1" xfId="0" applyFill="1" applyBorder="1"/>
    <xf numFmtId="0" fontId="79" fillId="0" borderId="1" xfId="0" applyFont="1" applyBorder="1"/>
    <xf numFmtId="0" fontId="79" fillId="0" borderId="0" xfId="0" applyFont="1" applyAlignment="1">
      <alignment horizontal="center" vertical="center"/>
    </xf>
    <xf numFmtId="0" fontId="70" fillId="3" borderId="2" xfId="0" applyFont="1" applyFill="1" applyBorder="1" applyAlignment="1">
      <alignment vertical="center" wrapText="1"/>
    </xf>
    <xf numFmtId="0" fontId="52" fillId="3" borderId="0" xfId="0" applyFont="1" applyFill="1" applyAlignment="1">
      <alignment horizontal="center"/>
    </xf>
    <xf numFmtId="0" fontId="79" fillId="0" borderId="1" xfId="0" applyFont="1" applyBorder="1" applyAlignment="1">
      <alignment horizontal="center" vertical="center"/>
    </xf>
    <xf numFmtId="0" fontId="54" fillId="3" borderId="7" xfId="0" applyFont="1" applyFill="1" applyBorder="1" applyAlignment="1">
      <alignment vertical="center"/>
    </xf>
    <xf numFmtId="2" fontId="79" fillId="0" borderId="1" xfId="0" applyNumberFormat="1" applyFont="1" applyBorder="1"/>
    <xf numFmtId="1" fontId="79" fillId="0" borderId="1" xfId="0" applyNumberFormat="1" applyFont="1" applyBorder="1"/>
    <xf numFmtId="0" fontId="51" fillId="0" borderId="0" xfId="0" applyFont="1"/>
    <xf numFmtId="17" fontId="51" fillId="0" borderId="0" xfId="0" applyNumberFormat="1" applyFont="1"/>
    <xf numFmtId="1" fontId="6" fillId="4" borderId="1" xfId="0" applyNumberFormat="1" applyFont="1" applyFill="1" applyBorder="1" applyAlignment="1" applyProtection="1">
      <alignment horizontal="center" vertical="center"/>
    </xf>
    <xf numFmtId="0" fontId="10" fillId="3" borderId="0" xfId="0" applyFont="1" applyFill="1" applyBorder="1" applyAlignment="1" applyProtection="1">
      <alignment horizontal="center" vertical="top"/>
    </xf>
    <xf numFmtId="1" fontId="53" fillId="4" borderId="0" xfId="0" applyNumberFormat="1" applyFont="1" applyFill="1" applyBorder="1" applyAlignment="1">
      <alignment horizontal="center" vertical="center"/>
    </xf>
    <xf numFmtId="0" fontId="51" fillId="0" borderId="1" xfId="0" applyFont="1" applyBorder="1"/>
    <xf numFmtId="17" fontId="51" fillId="0" borderId="1" xfId="0" applyNumberFormat="1" applyFont="1" applyBorder="1"/>
    <xf numFmtId="17" fontId="0" fillId="0" borderId="1" xfId="0" applyNumberFormat="1" applyBorder="1"/>
    <xf numFmtId="0" fontId="81" fillId="0" borderId="1" xfId="0" applyFont="1" applyBorder="1"/>
    <xf numFmtId="0" fontId="0" fillId="0" borderId="23" xfId="0" applyBorder="1"/>
    <xf numFmtId="0" fontId="81" fillId="0" borderId="23" xfId="0" applyFont="1" applyBorder="1"/>
    <xf numFmtId="0" fontId="0" fillId="0" borderId="24" xfId="0" applyBorder="1"/>
    <xf numFmtId="0" fontId="81" fillId="0" borderId="24" xfId="0" applyFont="1" applyBorder="1"/>
    <xf numFmtId="1" fontId="37" fillId="4" borderId="19" xfId="0" applyNumberFormat="1" applyFont="1" applyFill="1" applyBorder="1" applyAlignment="1" applyProtection="1">
      <alignment horizontal="right" vertical="center"/>
    </xf>
    <xf numFmtId="165" fontId="37" fillId="4" borderId="19" xfId="0" applyNumberFormat="1" applyFont="1" applyFill="1" applyBorder="1" applyAlignment="1" applyProtection="1">
      <alignment horizontal="right" vertical="center"/>
    </xf>
    <xf numFmtId="165" fontId="37" fillId="4" borderId="20" xfId="0" applyNumberFormat="1" applyFont="1" applyFill="1" applyBorder="1" applyAlignment="1" applyProtection="1">
      <alignment horizontal="right" vertical="center"/>
    </xf>
    <xf numFmtId="0" fontId="52" fillId="0" borderId="0" xfId="0" applyFont="1" applyFill="1" applyAlignment="1">
      <alignment horizontal="center"/>
    </xf>
    <xf numFmtId="2" fontId="11" fillId="0" borderId="13" xfId="0" applyNumberFormat="1" applyFont="1" applyFill="1" applyBorder="1" applyAlignment="1" applyProtection="1">
      <alignment horizontal="center" vertical="center"/>
    </xf>
    <xf numFmtId="165" fontId="11" fillId="0" borderId="13" xfId="0" applyNumberFormat="1" applyFont="1" applyFill="1" applyBorder="1" applyAlignment="1" applyProtection="1">
      <alignment horizontal="center" vertical="center"/>
    </xf>
    <xf numFmtId="165" fontId="11" fillId="0" borderId="21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center" vertical="center"/>
    </xf>
    <xf numFmtId="1" fontId="17" fillId="0" borderId="19" xfId="0" applyNumberFormat="1" applyFont="1" applyFill="1" applyBorder="1" applyAlignment="1" applyProtection="1">
      <alignment horizontal="center" vertical="center"/>
    </xf>
    <xf numFmtId="1" fontId="11" fillId="0" borderId="19" xfId="0" applyNumberFormat="1" applyFont="1" applyFill="1" applyBorder="1" applyAlignment="1" applyProtection="1">
      <alignment horizontal="right" vertical="center"/>
    </xf>
    <xf numFmtId="1" fontId="37" fillId="0" borderId="19" xfId="0" applyNumberFormat="1" applyFont="1" applyFill="1" applyBorder="1" applyAlignment="1" applyProtection="1">
      <alignment horizontal="right" vertical="center"/>
    </xf>
    <xf numFmtId="165" fontId="37" fillId="0" borderId="19" xfId="0" applyNumberFormat="1" applyFont="1" applyFill="1" applyBorder="1" applyAlignment="1" applyProtection="1">
      <alignment horizontal="right" vertical="center"/>
    </xf>
    <xf numFmtId="165" fontId="37" fillId="0" borderId="20" xfId="0" applyNumberFormat="1" applyFont="1" applyFill="1" applyBorder="1" applyAlignment="1" applyProtection="1">
      <alignment horizontal="right" vertical="center"/>
    </xf>
    <xf numFmtId="9" fontId="7" fillId="4" borderId="1" xfId="4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2" fillId="3" borderId="0" xfId="0" applyFont="1" applyFill="1" applyBorder="1" applyAlignment="1">
      <alignment vertical="center" wrapText="1"/>
    </xf>
    <xf numFmtId="0" fontId="66" fillId="3" borderId="10" xfId="0" applyFont="1" applyFill="1" applyBorder="1" applyAlignment="1">
      <alignment horizontal="center"/>
    </xf>
    <xf numFmtId="165" fontId="69" fillId="3" borderId="0" xfId="0" applyNumberFormat="1" applyFont="1" applyFill="1" applyBorder="1" applyAlignment="1">
      <alignment horizontal="center" vertical="center"/>
    </xf>
    <xf numFmtId="0" fontId="55" fillId="4" borderId="0" xfId="0" applyFont="1" applyFill="1" applyBorder="1" applyAlignment="1">
      <alignment horizontal="center"/>
    </xf>
    <xf numFmtId="0" fontId="57" fillId="3" borderId="0" xfId="0" applyFont="1" applyFill="1" applyAlignment="1">
      <alignment horizontal="left"/>
    </xf>
    <xf numFmtId="0" fontId="10" fillId="3" borderId="7" xfId="0" applyFont="1" applyFill="1" applyBorder="1" applyAlignment="1" applyProtection="1">
      <alignment horizontal="center" vertical="top"/>
    </xf>
    <xf numFmtId="0" fontId="54" fillId="3" borderId="0" xfId="0" applyFont="1" applyFill="1" applyAlignment="1">
      <alignment horizontal="center" vertical="center" wrapText="1"/>
    </xf>
    <xf numFmtId="0" fontId="33" fillId="3" borderId="7" xfId="0" applyFont="1" applyFill="1" applyBorder="1" applyAlignment="1" applyProtection="1">
      <alignment horizontal="center" vertical="top"/>
    </xf>
    <xf numFmtId="0" fontId="67" fillId="3" borderId="0" xfId="0" applyFont="1" applyFill="1" applyBorder="1" applyAlignment="1">
      <alignment horizontal="center" vertical="center" wrapText="1"/>
    </xf>
    <xf numFmtId="2" fontId="40" fillId="3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/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52" fillId="0" borderId="1" xfId="0" applyFont="1" applyFill="1" applyBorder="1" applyAlignment="1">
      <alignment vertical="center"/>
    </xf>
    <xf numFmtId="0" fontId="5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69" fillId="3" borderId="0" xfId="0" applyFont="1" applyFill="1" applyBorder="1" applyAlignment="1">
      <alignment horizontal="left" vertical="center"/>
    </xf>
    <xf numFmtId="0" fontId="69" fillId="3" borderId="0" xfId="0" applyFont="1" applyFill="1" applyBorder="1" applyAlignment="1">
      <alignment horizontal="left"/>
    </xf>
    <xf numFmtId="1" fontId="15" fillId="6" borderId="17" xfId="0" applyNumberFormat="1" applyFont="1" applyFill="1" applyBorder="1" applyAlignment="1" applyProtection="1">
      <alignment vertical="center"/>
    </xf>
    <xf numFmtId="0" fontId="69" fillId="0" borderId="0" xfId="0" applyFont="1" applyFill="1" applyBorder="1" applyAlignment="1">
      <alignment horizontal="left" vertical="center"/>
    </xf>
    <xf numFmtId="2" fontId="40" fillId="0" borderId="0" xfId="0" applyNumberFormat="1" applyFont="1" applyFill="1" applyBorder="1" applyAlignment="1" applyProtection="1">
      <alignment vertical="center"/>
    </xf>
    <xf numFmtId="1" fontId="15" fillId="0" borderId="17" xfId="0" applyNumberFormat="1" applyFont="1" applyFill="1" applyBorder="1" applyAlignment="1" applyProtection="1">
      <alignment vertical="center"/>
    </xf>
    <xf numFmtId="0" fontId="69" fillId="0" borderId="0" xfId="0" applyFont="1" applyFill="1" applyBorder="1" applyAlignment="1">
      <alignment horizontal="left"/>
    </xf>
    <xf numFmtId="0" fontId="33" fillId="3" borderId="0" xfId="0" applyFont="1" applyFill="1" applyBorder="1" applyAlignment="1" applyProtection="1">
      <alignment horizontal="center" vertical="top"/>
    </xf>
    <xf numFmtId="0" fontId="81" fillId="0" borderId="23" xfId="0" applyFont="1" applyFill="1" applyBorder="1"/>
    <xf numFmtId="0" fontId="81" fillId="0" borderId="1" xfId="0" applyFont="1" applyFill="1" applyBorder="1"/>
    <xf numFmtId="0" fontId="81" fillId="0" borderId="24" xfId="0" applyFont="1" applyFill="1" applyBorder="1"/>
    <xf numFmtId="0" fontId="0" fillId="0" borderId="0" xfId="0" applyFont="1" applyFill="1"/>
    <xf numFmtId="0" fontId="67" fillId="3" borderId="4" xfId="0" applyFont="1" applyFill="1" applyBorder="1" applyAlignment="1">
      <alignment horizontal="center" vertical="center" wrapText="1"/>
    </xf>
    <xf numFmtId="0" fontId="76" fillId="3" borderId="4" xfId="0" applyFont="1" applyFill="1" applyBorder="1" applyAlignment="1">
      <alignment vertical="center"/>
    </xf>
    <xf numFmtId="0" fontId="76" fillId="3" borderId="4" xfId="0" applyFont="1" applyFill="1" applyBorder="1" applyAlignment="1">
      <alignment horizontal="right" vertical="center"/>
    </xf>
    <xf numFmtId="0" fontId="73" fillId="3" borderId="4" xfId="0" applyFont="1" applyFill="1" applyBorder="1" applyAlignment="1">
      <alignment horizontal="right" vertical="center"/>
    </xf>
    <xf numFmtId="0" fontId="87" fillId="3" borderId="4" xfId="0" applyFont="1" applyFill="1" applyBorder="1" applyAlignment="1">
      <alignment horizontal="center" vertical="center" wrapText="1"/>
    </xf>
    <xf numFmtId="0" fontId="87" fillId="3" borderId="0" xfId="0" applyFont="1" applyFill="1" applyBorder="1" applyAlignment="1">
      <alignment horizontal="center" vertical="center" wrapText="1"/>
    </xf>
    <xf numFmtId="0" fontId="73" fillId="3" borderId="5" xfId="0" applyFont="1" applyFill="1" applyBorder="1" applyAlignment="1">
      <alignment vertical="center"/>
    </xf>
    <xf numFmtId="165" fontId="0" fillId="3" borderId="0" xfId="0" applyNumberFormat="1" applyFill="1"/>
    <xf numFmtId="165" fontId="56" fillId="4" borderId="0" xfId="0" applyNumberFormat="1" applyFont="1" applyFill="1" applyBorder="1" applyAlignment="1">
      <alignment horizontal="center" vertical="center"/>
    </xf>
    <xf numFmtId="1" fontId="56" fillId="4" borderId="0" xfId="0" applyNumberFormat="1" applyFont="1" applyFill="1" applyBorder="1" applyAlignment="1">
      <alignment horizontal="center" vertical="center"/>
    </xf>
    <xf numFmtId="1" fontId="74" fillId="3" borderId="0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73" fillId="0" borderId="0" xfId="0" applyFont="1" applyFill="1"/>
    <xf numFmtId="165" fontId="5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2" fontId="53" fillId="4" borderId="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/>
    <xf numFmtId="0" fontId="0" fillId="3" borderId="0" xfId="0" applyFill="1"/>
    <xf numFmtId="0" fontId="65" fillId="3" borderId="0" xfId="0" applyFont="1" applyFill="1" applyBorder="1" applyAlignment="1"/>
    <xf numFmtId="0" fontId="0" fillId="0" borderId="0" xfId="0"/>
    <xf numFmtId="0" fontId="0" fillId="3" borderId="0" xfId="0" applyFill="1" applyBorder="1"/>
    <xf numFmtId="0" fontId="53" fillId="3" borderId="0" xfId="0" applyFont="1" applyFill="1" applyBorder="1" applyAlignment="1">
      <alignment vertical="center"/>
    </xf>
    <xf numFmtId="0" fontId="0" fillId="3" borderId="0" xfId="0" applyFill="1"/>
    <xf numFmtId="0" fontId="57" fillId="3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7" xfId="0" applyFill="1" applyBorder="1"/>
    <xf numFmtId="0" fontId="0" fillId="3" borderId="6" xfId="0" applyFill="1" applyBorder="1"/>
    <xf numFmtId="0" fontId="54" fillId="3" borderId="0" xfId="0" applyFont="1" applyFill="1" applyBorder="1"/>
    <xf numFmtId="0" fontId="0" fillId="3" borderId="4" xfId="0" applyFill="1" applyBorder="1"/>
    <xf numFmtId="0" fontId="54" fillId="3" borderId="4" xfId="0" applyFont="1" applyFill="1" applyBorder="1" applyAlignment="1">
      <alignment horizontal="center"/>
    </xf>
    <xf numFmtId="0" fontId="64" fillId="3" borderId="0" xfId="0" applyFont="1" applyFill="1" applyBorder="1" applyAlignment="1">
      <alignment horizontal="center" vertical="center" wrapText="1"/>
    </xf>
    <xf numFmtId="0" fontId="54" fillId="3" borderId="0" xfId="0" applyFont="1" applyFill="1" applyBorder="1" applyAlignment="1">
      <alignment horizontal="center"/>
    </xf>
    <xf numFmtId="0" fontId="85" fillId="3" borderId="7" xfId="0" applyFont="1" applyFill="1" applyBorder="1" applyAlignment="1">
      <alignment vertical="center" wrapText="1"/>
    </xf>
    <xf numFmtId="0" fontId="83" fillId="3" borderId="7" xfId="0" applyFont="1" applyFill="1" applyBorder="1" applyAlignment="1">
      <alignment vertical="center"/>
    </xf>
    <xf numFmtId="2" fontId="53" fillId="3" borderId="7" xfId="0" applyNumberFormat="1" applyFont="1" applyFill="1" applyBorder="1" applyAlignment="1">
      <alignment vertical="center"/>
    </xf>
    <xf numFmtId="0" fontId="84" fillId="3" borderId="7" xfId="0" applyFont="1" applyFill="1" applyBorder="1" applyAlignment="1">
      <alignment vertical="center"/>
    </xf>
    <xf numFmtId="0" fontId="85" fillId="3" borderId="8" xfId="0" applyFont="1" applyFill="1" applyBorder="1" applyAlignment="1">
      <alignment vertical="center" wrapText="1"/>
    </xf>
    <xf numFmtId="0" fontId="0" fillId="0" borderId="0" xfId="0"/>
    <xf numFmtId="0" fontId="0" fillId="0" borderId="0" xfId="0"/>
    <xf numFmtId="0" fontId="0" fillId="3" borderId="0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54" fillId="3" borderId="2" xfId="0" applyFont="1" applyFill="1" applyBorder="1"/>
    <xf numFmtId="0" fontId="10" fillId="3" borderId="10" xfId="0" applyFont="1" applyFill="1" applyBorder="1" applyAlignment="1" applyProtection="1">
      <alignment vertical="top"/>
    </xf>
    <xf numFmtId="0" fontId="59" fillId="5" borderId="0" xfId="0" applyFont="1" applyFill="1" applyBorder="1" applyAlignment="1">
      <alignment horizontal="center" vertical="center"/>
    </xf>
    <xf numFmtId="0" fontId="55" fillId="5" borderId="0" xfId="0" applyFont="1" applyFill="1" applyBorder="1" applyAlignment="1">
      <alignment horizontal="center" vertical="center" wrapText="1"/>
    </xf>
    <xf numFmtId="0" fontId="54" fillId="3" borderId="0" xfId="0" applyFont="1" applyFill="1" applyBorder="1"/>
    <xf numFmtId="0" fontId="63" fillId="3" borderId="0" xfId="0" applyFont="1" applyFill="1" applyAlignment="1">
      <alignment vertical="center"/>
    </xf>
    <xf numFmtId="0" fontId="0" fillId="3" borderId="4" xfId="0" applyFill="1" applyBorder="1"/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3" fillId="4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4" fillId="3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0" fillId="3" borderId="0" xfId="0" applyFont="1" applyFill="1" applyBorder="1" applyAlignment="1">
      <alignment horizontal="left" vertical="center"/>
    </xf>
    <xf numFmtId="0" fontId="57" fillId="3" borderId="0" xfId="0" applyFont="1" applyFill="1" applyBorder="1" applyAlignment="1">
      <alignment horizontal="center" vertical="center"/>
    </xf>
    <xf numFmtId="166" fontId="59" fillId="3" borderId="0" xfId="1" applyNumberFormat="1" applyFont="1" applyFill="1" applyBorder="1" applyAlignment="1">
      <alignment horizontal="center" vertical="center"/>
    </xf>
    <xf numFmtId="165" fontId="52" fillId="4" borderId="0" xfId="0" applyNumberFormat="1" applyFont="1" applyFill="1" applyBorder="1" applyAlignment="1">
      <alignment horizontal="left" vertical="center"/>
    </xf>
    <xf numFmtId="0" fontId="0" fillId="3" borderId="0" xfId="0" applyFill="1" applyBorder="1" applyAlignment="1">
      <alignment horizontal="right"/>
    </xf>
    <xf numFmtId="0" fontId="0" fillId="3" borderId="0" xfId="0" applyFont="1" applyFill="1" applyBorder="1" applyAlignment="1">
      <alignment horizontal="left"/>
    </xf>
    <xf numFmtId="1" fontId="52" fillId="4" borderId="0" xfId="0" applyNumberFormat="1" applyFont="1" applyFill="1" applyBorder="1" applyAlignment="1">
      <alignment horizontal="left" vertical="center"/>
    </xf>
    <xf numFmtId="0" fontId="0" fillId="3" borderId="11" xfId="0" applyFill="1" applyBorder="1"/>
    <xf numFmtId="165" fontId="83" fillId="4" borderId="0" xfId="0" applyNumberFormat="1" applyFont="1" applyFill="1" applyBorder="1" applyAlignment="1">
      <alignment horizontal="center" vertical="center"/>
    </xf>
    <xf numFmtId="164" fontId="68" fillId="0" borderId="12" xfId="1" applyFont="1" applyFill="1" applyBorder="1" applyAlignment="1">
      <alignment horizontal="center" vertical="center"/>
    </xf>
    <xf numFmtId="0" fontId="0" fillId="3" borderId="12" xfId="0" applyFill="1" applyBorder="1"/>
    <xf numFmtId="0" fontId="90" fillId="3" borderId="0" xfId="0" applyFont="1" applyFill="1" applyBorder="1" applyAlignment="1">
      <alignment horizontal="left"/>
    </xf>
    <xf numFmtId="0" fontId="68" fillId="3" borderId="10" xfId="0" applyFont="1" applyFill="1" applyBorder="1" applyAlignment="1">
      <alignment wrapText="1"/>
    </xf>
    <xf numFmtId="0" fontId="0" fillId="0" borderId="0" xfId="0"/>
    <xf numFmtId="0" fontId="0" fillId="0" borderId="0" xfId="0" applyBorder="1"/>
    <xf numFmtId="0" fontId="0" fillId="0" borderId="0" xfId="0" applyFill="1"/>
    <xf numFmtId="1" fontId="15" fillId="6" borderId="16" xfId="0" applyNumberFormat="1" applyFont="1" applyFill="1" applyBorder="1" applyAlignment="1" applyProtection="1">
      <alignment vertical="center"/>
    </xf>
    <xf numFmtId="1" fontId="15" fillId="6" borderId="1" xfId="0" applyNumberFormat="1" applyFont="1" applyFill="1" applyBorder="1" applyAlignment="1" applyProtection="1">
      <alignment vertical="center"/>
    </xf>
    <xf numFmtId="165" fontId="11" fillId="4" borderId="19" xfId="0" applyNumberFormat="1" applyFont="1" applyFill="1" applyBorder="1" applyAlignment="1" applyProtection="1">
      <alignment horizontal="right" vertical="center"/>
    </xf>
    <xf numFmtId="1" fontId="11" fillId="3" borderId="0" xfId="0" applyNumberFormat="1" applyFont="1" applyFill="1" applyBorder="1" applyAlignment="1" applyProtection="1">
      <alignment horizontal="right" vertical="center"/>
    </xf>
    <xf numFmtId="0" fontId="0" fillId="0" borderId="0" xfId="0" applyFill="1" applyBorder="1"/>
    <xf numFmtId="0" fontId="6" fillId="4" borderId="14" xfId="0" applyFont="1" applyFill="1" applyBorder="1" applyAlignment="1" applyProtection="1">
      <alignment horizontal="center" vertical="center"/>
    </xf>
    <xf numFmtId="2" fontId="15" fillId="6" borderId="1" xfId="0" applyNumberFormat="1" applyFont="1" applyFill="1" applyBorder="1" applyAlignment="1" applyProtection="1">
      <alignment vertical="center"/>
    </xf>
    <xf numFmtId="165" fontId="15" fillId="6" borderId="1" xfId="0" applyNumberFormat="1" applyFont="1" applyFill="1" applyBorder="1" applyAlignment="1" applyProtection="1">
      <alignment vertical="center"/>
    </xf>
    <xf numFmtId="165" fontId="15" fillId="6" borderId="14" xfId="0" applyNumberFormat="1" applyFont="1" applyFill="1" applyBorder="1" applyAlignment="1" applyProtection="1">
      <alignment vertical="center"/>
    </xf>
    <xf numFmtId="1" fontId="0" fillId="0" borderId="0" xfId="0" applyNumberFormat="1"/>
    <xf numFmtId="0" fontId="6" fillId="4" borderId="1" xfId="0" applyFont="1" applyFill="1" applyBorder="1" applyAlignment="1" applyProtection="1">
      <alignment horizontal="center" vertical="center"/>
    </xf>
    <xf numFmtId="166" fontId="59" fillId="4" borderId="0" xfId="1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right"/>
    </xf>
    <xf numFmtId="1" fontId="52" fillId="4" borderId="0" xfId="0" applyNumberFormat="1" applyFont="1" applyFill="1" applyBorder="1" applyAlignment="1">
      <alignment horizontal="left" vertical="center"/>
    </xf>
    <xf numFmtId="165" fontId="11" fillId="4" borderId="21" xfId="0" applyNumberFormat="1" applyFont="1" applyFill="1" applyBorder="1" applyAlignment="1" applyProtection="1">
      <alignment horizontal="center" vertical="center"/>
    </xf>
    <xf numFmtId="165" fontId="11" fillId="4" borderId="13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1" fontId="11" fillId="4" borderId="19" xfId="0" applyNumberFormat="1" applyFont="1" applyFill="1" applyBorder="1" applyAlignment="1" applyProtection="1">
      <alignment horizontal="right" vertical="center"/>
    </xf>
    <xf numFmtId="1" fontId="17" fillId="4" borderId="19" xfId="0" applyNumberFormat="1" applyFont="1" applyFill="1" applyBorder="1" applyAlignment="1" applyProtection="1">
      <alignment horizontal="center" vertical="center"/>
    </xf>
    <xf numFmtId="164" fontId="68" fillId="0" borderId="12" xfId="1" applyFont="1" applyFill="1" applyBorder="1" applyAlignment="1">
      <alignment horizontal="center" vertical="center"/>
    </xf>
    <xf numFmtId="0" fontId="0" fillId="0" borderId="0" xfId="0" applyFont="1" applyFill="1" applyBorder="1"/>
    <xf numFmtId="165" fontId="0" fillId="0" borderId="0" xfId="0" applyNumberFormat="1"/>
    <xf numFmtId="165" fontId="53" fillId="4" borderId="22" xfId="0" applyNumberFormat="1" applyFont="1" applyFill="1" applyBorder="1" applyAlignment="1" applyProtection="1">
      <alignment horizontal="center" vertical="center"/>
    </xf>
    <xf numFmtId="165" fontId="11" fillId="4" borderId="20" xfId="0" applyNumberFormat="1" applyFont="1" applyFill="1" applyBorder="1" applyAlignment="1" applyProtection="1">
      <alignment horizontal="right" vertical="center"/>
    </xf>
    <xf numFmtId="1" fontId="92" fillId="3" borderId="0" xfId="0" applyNumberFormat="1" applyFont="1" applyFill="1" applyBorder="1" applyAlignment="1">
      <alignment horizontal="right" vertical="center"/>
    </xf>
    <xf numFmtId="1" fontId="93" fillId="3" borderId="0" xfId="0" applyNumberFormat="1" applyFont="1" applyFill="1" applyBorder="1" applyAlignment="1">
      <alignment horizontal="right" vertical="center"/>
    </xf>
    <xf numFmtId="0" fontId="94" fillId="3" borderId="0" xfId="0" applyFont="1" applyFill="1" applyBorder="1" applyAlignment="1">
      <alignment horizontal="left"/>
    </xf>
    <xf numFmtId="0" fontId="95" fillId="4" borderId="0" xfId="0" applyFont="1" applyFill="1" applyBorder="1" applyAlignment="1">
      <alignment horizontal="left" vertical="center"/>
    </xf>
    <xf numFmtId="1" fontId="96" fillId="4" borderId="0" xfId="0" applyNumberFormat="1" applyFont="1" applyFill="1" applyBorder="1" applyAlignment="1">
      <alignment horizontal="right" vertical="center"/>
    </xf>
    <xf numFmtId="0" fontId="92" fillId="3" borderId="0" xfId="0" applyFont="1" applyFill="1" applyBorder="1" applyAlignment="1">
      <alignment horizontal="left" vertical="center"/>
    </xf>
    <xf numFmtId="2" fontId="83" fillId="4" borderId="0" xfId="0" applyNumberFormat="1" applyFont="1" applyFill="1" applyBorder="1" applyAlignment="1">
      <alignment horizontal="center" vertical="center"/>
    </xf>
    <xf numFmtId="165" fontId="37" fillId="4" borderId="13" xfId="0" applyNumberFormat="1" applyFont="1" applyFill="1" applyBorder="1" applyAlignment="1" applyProtection="1">
      <alignment horizontal="center" vertical="center"/>
      <protection locked="0"/>
    </xf>
    <xf numFmtId="1" fontId="37" fillId="4" borderId="13" xfId="0" applyNumberFormat="1" applyFont="1" applyFill="1" applyBorder="1" applyAlignment="1" applyProtection="1">
      <alignment horizontal="center" vertical="center"/>
      <protection locked="0"/>
    </xf>
    <xf numFmtId="165" fontId="37" fillId="4" borderId="21" xfId="0" applyNumberFormat="1" applyFont="1" applyFill="1" applyBorder="1" applyAlignment="1" applyProtection="1">
      <alignment horizontal="center" vertical="center"/>
      <protection locked="0"/>
    </xf>
    <xf numFmtId="1" fontId="11" fillId="4" borderId="13" xfId="0" applyNumberFormat="1" applyFont="1" applyFill="1" applyBorder="1" applyAlignment="1" applyProtection="1">
      <alignment horizontal="center" vertical="center"/>
    </xf>
    <xf numFmtId="0" fontId="51" fillId="0" borderId="0" xfId="0" applyFont="1" applyFill="1" applyBorder="1"/>
    <xf numFmtId="1" fontId="6" fillId="3" borderId="0" xfId="0" applyNumberFormat="1" applyFont="1" applyFill="1" applyBorder="1" applyAlignment="1" applyProtection="1">
      <alignment horizontal="center" vertical="center"/>
    </xf>
    <xf numFmtId="1" fontId="0" fillId="3" borderId="0" xfId="0" applyNumberFormat="1" applyFill="1" applyProtection="1"/>
    <xf numFmtId="0" fontId="33" fillId="0" borderId="7" xfId="0" applyFont="1" applyFill="1" applyBorder="1" applyAlignment="1" applyProtection="1">
      <alignment horizontal="center" vertical="top"/>
    </xf>
    <xf numFmtId="0" fontId="10" fillId="0" borderId="11" xfId="0" applyFont="1" applyFill="1" applyBorder="1" applyAlignment="1" applyProtection="1">
      <alignment vertical="top"/>
    </xf>
    <xf numFmtId="0" fontId="10" fillId="0" borderId="10" xfId="0" applyFont="1" applyFill="1" applyBorder="1" applyAlignment="1" applyProtection="1">
      <alignment vertical="top"/>
    </xf>
    <xf numFmtId="0" fontId="10" fillId="0" borderId="12" xfId="0" applyFont="1" applyFill="1" applyBorder="1" applyAlignment="1" applyProtection="1">
      <alignment vertical="top"/>
    </xf>
    <xf numFmtId="0" fontId="10" fillId="0" borderId="0" xfId="0" applyFont="1" applyFill="1" applyBorder="1" applyAlignment="1" applyProtection="1">
      <alignment vertical="top"/>
    </xf>
    <xf numFmtId="165" fontId="18" fillId="0" borderId="1" xfId="0" applyNumberFormat="1" applyFont="1" applyFill="1" applyBorder="1" applyAlignment="1" applyProtection="1">
      <alignment horizontal="center" vertical="center"/>
      <protection locked="0"/>
    </xf>
    <xf numFmtId="165" fontId="19" fillId="0" borderId="15" xfId="0" applyNumberFormat="1" applyFont="1" applyFill="1" applyBorder="1" applyAlignment="1" applyProtection="1">
      <alignment horizontal="center" vertical="center"/>
      <protection locked="0"/>
    </xf>
    <xf numFmtId="0" fontId="91" fillId="0" borderId="13" xfId="0" applyNumberFormat="1" applyFont="1" applyFill="1" applyBorder="1" applyAlignment="1">
      <alignment horizontal="center" vertical="center"/>
    </xf>
    <xf numFmtId="165" fontId="37" fillId="0" borderId="13" xfId="0" applyNumberFormat="1" applyFont="1" applyFill="1" applyBorder="1" applyAlignment="1" applyProtection="1">
      <alignment horizontal="center" vertical="center"/>
      <protection locked="0"/>
    </xf>
    <xf numFmtId="1" fontId="37" fillId="0" borderId="13" xfId="0" applyNumberFormat="1" applyFont="1" applyFill="1" applyBorder="1" applyAlignment="1" applyProtection="1">
      <alignment horizontal="center" vertical="center"/>
      <protection locked="0"/>
    </xf>
    <xf numFmtId="165" fontId="37" fillId="0" borderId="21" xfId="0" applyNumberFormat="1" applyFont="1" applyFill="1" applyBorder="1" applyAlignment="1" applyProtection="1">
      <alignment horizontal="center" vertical="center"/>
      <protection locked="0"/>
    </xf>
    <xf numFmtId="1" fontId="6" fillId="0" borderId="0" xfId="0" applyNumberFormat="1" applyFont="1" applyFill="1" applyBorder="1" applyAlignment="1" applyProtection="1">
      <alignment horizontal="center" vertical="center"/>
    </xf>
    <xf numFmtId="165" fontId="11" fillId="0" borderId="20" xfId="0" applyNumberFormat="1" applyFont="1" applyFill="1" applyBorder="1" applyAlignment="1" applyProtection="1">
      <alignment horizontal="right" vertical="center"/>
    </xf>
    <xf numFmtId="1" fontId="11" fillId="0" borderId="13" xfId="0" applyNumberFormat="1" applyFont="1" applyFill="1" applyBorder="1" applyAlignment="1" applyProtection="1">
      <alignment horizontal="center" vertical="center"/>
    </xf>
    <xf numFmtId="1" fontId="0" fillId="0" borderId="0" xfId="0" applyNumberFormat="1" applyFill="1" applyProtection="1"/>
    <xf numFmtId="0" fontId="57" fillId="0" borderId="0" xfId="0" applyFont="1" applyFill="1"/>
    <xf numFmtId="165" fontId="53" fillId="0" borderId="22" xfId="0" applyNumberFormat="1" applyFont="1" applyFill="1" applyBorder="1" applyAlignment="1" applyProtection="1">
      <alignment horizontal="center" vertical="center"/>
    </xf>
    <xf numFmtId="0" fontId="59" fillId="4" borderId="0" xfId="0" applyFont="1" applyFill="1" applyBorder="1" applyAlignment="1">
      <alignment horizontal="center"/>
    </xf>
    <xf numFmtId="164" fontId="69" fillId="0" borderId="11" xfId="1" applyNumberFormat="1" applyFont="1" applyFill="1" applyBorder="1" applyAlignment="1" applyProtection="1">
      <alignment horizontal="right" vertical="center"/>
      <protection locked="0"/>
    </xf>
    <xf numFmtId="164" fontId="57" fillId="3" borderId="0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Border="1" applyProtection="1">
      <protection locked="0"/>
    </xf>
    <xf numFmtId="164" fontId="69" fillId="0" borderId="11" xfId="1" applyFont="1" applyFill="1" applyBorder="1" applyAlignment="1" applyProtection="1">
      <alignment horizontal="right" vertical="center"/>
      <protection locked="0"/>
    </xf>
    <xf numFmtId="2" fontId="59" fillId="4" borderId="0" xfId="0" applyNumberFormat="1" applyFont="1" applyFill="1" applyBorder="1" applyAlignment="1">
      <alignment horizontal="right" vertical="center"/>
    </xf>
    <xf numFmtId="2" fontId="0" fillId="3" borderId="0" xfId="0" applyNumberFormat="1" applyFill="1" applyBorder="1" applyAlignment="1">
      <alignment horizontal="right" vertical="center"/>
    </xf>
    <xf numFmtId="2" fontId="0" fillId="3" borderId="0" xfId="0" applyNumberFormat="1" applyFill="1" applyBorder="1" applyAlignment="1">
      <alignment horizontal="right"/>
    </xf>
    <xf numFmtId="0" fontId="81" fillId="0" borderId="0" xfId="0" applyFont="1" applyFill="1"/>
    <xf numFmtId="0" fontId="32" fillId="0" borderId="0" xfId="0" applyFont="1" applyFill="1" applyAlignment="1">
      <alignment vertical="top"/>
    </xf>
    <xf numFmtId="0" fontId="109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2" fontId="110" fillId="0" borderId="1" xfId="0" applyNumberFormat="1" applyFont="1" applyFill="1" applyBorder="1" applyAlignment="1">
      <alignment vertical="center"/>
    </xf>
    <xf numFmtId="2" fontId="110" fillId="0" borderId="14" xfId="0" applyNumberFormat="1" applyFont="1" applyFill="1" applyBorder="1" applyAlignment="1">
      <alignment vertical="center"/>
    </xf>
    <xf numFmtId="165" fontId="110" fillId="0" borderId="0" xfId="0" applyNumberFormat="1" applyFont="1" applyFill="1" applyBorder="1" applyAlignment="1">
      <alignment vertical="center"/>
    </xf>
    <xf numFmtId="2" fontId="18" fillId="0" borderId="1" xfId="0" applyNumberFormat="1" applyFont="1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center" vertical="center"/>
    </xf>
    <xf numFmtId="165" fontId="18" fillId="0" borderId="1" xfId="0" applyNumberFormat="1" applyFont="1" applyFill="1" applyBorder="1" applyAlignment="1">
      <alignment horizontal="center" vertical="center"/>
    </xf>
    <xf numFmtId="165" fontId="18" fillId="0" borderId="14" xfId="0" applyNumberFormat="1" applyFont="1" applyFill="1" applyBorder="1" applyAlignment="1">
      <alignment horizontal="center" vertical="center"/>
    </xf>
    <xf numFmtId="165" fontId="18" fillId="0" borderId="0" xfId="0" applyNumberFormat="1" applyFont="1" applyFill="1" applyBorder="1" applyAlignment="1">
      <alignment horizontal="center" vertical="center"/>
    </xf>
    <xf numFmtId="2" fontId="18" fillId="0" borderId="13" xfId="0" applyNumberFormat="1" applyFont="1" applyFill="1" applyBorder="1" applyAlignment="1">
      <alignment horizontal="center" vertical="center"/>
    </xf>
    <xf numFmtId="1" fontId="18" fillId="0" borderId="13" xfId="0" applyNumberFormat="1" applyFont="1" applyFill="1" applyBorder="1" applyAlignment="1">
      <alignment horizontal="center" vertical="center"/>
    </xf>
    <xf numFmtId="165" fontId="18" fillId="0" borderId="13" xfId="0" applyNumberFormat="1" applyFont="1" applyFill="1" applyBorder="1" applyAlignment="1">
      <alignment horizontal="center" vertical="center"/>
    </xf>
    <xf numFmtId="165" fontId="18" fillId="0" borderId="21" xfId="0" applyNumberFormat="1" applyFont="1" applyFill="1" applyBorder="1" applyAlignment="1">
      <alignment horizontal="center" vertical="center"/>
    </xf>
    <xf numFmtId="0" fontId="81" fillId="0" borderId="0" xfId="0" applyFont="1" applyFill="1" applyBorder="1"/>
    <xf numFmtId="1" fontId="32" fillId="0" borderId="0" xfId="0" applyNumberFormat="1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9" fontId="19" fillId="0" borderId="1" xfId="4" applyFont="1" applyFill="1" applyBorder="1" applyAlignment="1">
      <alignment horizontal="center" vertical="center"/>
    </xf>
    <xf numFmtId="2" fontId="19" fillId="0" borderId="1" xfId="0" applyNumberFormat="1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horizontal="center" vertical="center"/>
    </xf>
    <xf numFmtId="165" fontId="19" fillId="0" borderId="1" xfId="0" applyNumberFormat="1" applyFont="1" applyFill="1" applyBorder="1" applyAlignment="1">
      <alignment horizontal="center" vertical="center"/>
    </xf>
    <xf numFmtId="165" fontId="19" fillId="0" borderId="0" xfId="0" applyNumberFormat="1" applyFont="1" applyFill="1" applyBorder="1" applyAlignment="1">
      <alignment horizontal="center" vertical="center"/>
    </xf>
    <xf numFmtId="0" fontId="81" fillId="0" borderId="0" xfId="0" applyFont="1" applyFill="1" applyProtection="1">
      <protection locked="0"/>
    </xf>
    <xf numFmtId="0" fontId="81" fillId="0" borderId="0" xfId="0" applyFont="1" applyFill="1" applyAlignment="1" applyProtection="1">
      <alignment horizontal="center"/>
      <protection locked="0"/>
    </xf>
    <xf numFmtId="0" fontId="81" fillId="0" borderId="0" xfId="0" applyFont="1" applyFill="1" applyBorder="1" applyProtection="1">
      <protection locked="0"/>
    </xf>
    <xf numFmtId="0" fontId="81" fillId="0" borderId="1" xfId="0" applyFont="1" applyFill="1" applyBorder="1" applyAlignment="1">
      <alignment horizontal="center" vertical="center"/>
    </xf>
    <xf numFmtId="0" fontId="81" fillId="0" borderId="1" xfId="0" applyFont="1" applyFill="1" applyBorder="1" applyAlignment="1">
      <alignment horizontal="center"/>
    </xf>
    <xf numFmtId="0" fontId="81" fillId="0" borderId="0" xfId="0" applyFont="1" applyFill="1" applyBorder="1" applyAlignment="1" applyProtection="1">
      <alignment horizontal="center" vertical="center"/>
      <protection locked="0"/>
    </xf>
    <xf numFmtId="2" fontId="81" fillId="0" borderId="1" xfId="0" applyNumberFormat="1" applyFont="1" applyFill="1" applyBorder="1"/>
    <xf numFmtId="165" fontId="81" fillId="0" borderId="1" xfId="0" applyNumberFormat="1" applyFont="1" applyFill="1" applyBorder="1"/>
    <xf numFmtId="165" fontId="81" fillId="0" borderId="0" xfId="0" applyNumberFormat="1" applyFont="1" applyFill="1" applyBorder="1" applyAlignment="1" applyProtection="1">
      <alignment horizontal="center"/>
      <protection locked="0"/>
    </xf>
    <xf numFmtId="17" fontId="81" fillId="0" borderId="1" xfId="0" applyNumberFormat="1" applyFont="1" applyFill="1" applyBorder="1"/>
    <xf numFmtId="165" fontId="81" fillId="0" borderId="0" xfId="0" applyNumberFormat="1" applyFont="1" applyFill="1" applyBorder="1" applyAlignment="1" applyProtection="1">
      <alignment horizontal="center" vertical="center"/>
      <protection locked="0"/>
    </xf>
    <xf numFmtId="0" fontId="82" fillId="0" borderId="1" xfId="0" applyFont="1" applyFill="1" applyBorder="1"/>
    <xf numFmtId="2" fontId="82" fillId="0" borderId="1" xfId="0" applyNumberFormat="1" applyFont="1" applyFill="1" applyBorder="1"/>
    <xf numFmtId="1" fontId="82" fillId="0" borderId="1" xfId="0" applyNumberFormat="1" applyFont="1" applyFill="1" applyBorder="1"/>
    <xf numFmtId="165" fontId="82" fillId="0" borderId="1" xfId="0" applyNumberFormat="1" applyFont="1" applyFill="1" applyBorder="1"/>
    <xf numFmtId="1" fontId="81" fillId="0" borderId="1" xfId="0" applyNumberFormat="1" applyFont="1" applyFill="1" applyBorder="1"/>
    <xf numFmtId="0" fontId="52" fillId="8" borderId="0" xfId="0" applyFont="1" applyFill="1" applyAlignment="1">
      <alignment horizontal="center"/>
    </xf>
    <xf numFmtId="0" fontId="0" fillId="0" borderId="0" xfId="0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63" fillId="0" borderId="0" xfId="0" applyFont="1" applyFill="1" applyBorder="1" applyAlignment="1">
      <alignment vertical="center"/>
    </xf>
    <xf numFmtId="164" fontId="37" fillId="3" borderId="0" xfId="0" applyNumberFormat="1" applyFont="1" applyFill="1" applyBorder="1" applyAlignment="1" applyProtection="1">
      <alignment horizontal="center" vertical="center"/>
      <protection locked="0"/>
    </xf>
    <xf numFmtId="164" fontId="35" fillId="3" borderId="0" xfId="0" applyNumberFormat="1" applyFont="1" applyFill="1" applyAlignment="1">
      <alignment horizontal="center"/>
    </xf>
    <xf numFmtId="164" fontId="35" fillId="3" borderId="0" xfId="0" applyNumberFormat="1" applyFont="1" applyFill="1" applyAlignment="1">
      <alignment horizontal="center" vertical="center"/>
    </xf>
    <xf numFmtId="164" fontId="21" fillId="0" borderId="22" xfId="2" applyNumberFormat="1" applyFont="1" applyFill="1" applyBorder="1" applyAlignment="1" applyProtection="1">
      <alignment horizontal="center" vertical="center"/>
    </xf>
    <xf numFmtId="164" fontId="37" fillId="0" borderId="0" xfId="0" applyNumberFormat="1" applyFont="1" applyFill="1" applyBorder="1" applyAlignment="1" applyProtection="1">
      <alignment horizontal="center" vertical="center"/>
    </xf>
    <xf numFmtId="164" fontId="21" fillId="0" borderId="22" xfId="2" applyNumberFormat="1" applyFont="1" applyFill="1" applyBorder="1" applyAlignment="1" applyProtection="1">
      <alignment vertical="center"/>
    </xf>
    <xf numFmtId="164" fontId="16" fillId="0" borderId="0" xfId="0" applyNumberFormat="1" applyFont="1" applyFill="1" applyAlignment="1" applyProtection="1">
      <alignment horizontal="center"/>
    </xf>
    <xf numFmtId="164" fontId="16" fillId="0" borderId="0" xfId="0" applyNumberFormat="1" applyFont="1" applyFill="1" applyAlignment="1" applyProtection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/>
    <xf numFmtId="0" fontId="53" fillId="3" borderId="0" xfId="0" applyFont="1" applyFill="1" applyBorder="1" applyAlignment="1">
      <alignment vertical="center"/>
    </xf>
    <xf numFmtId="0" fontId="0" fillId="3" borderId="0" xfId="0" applyFill="1"/>
    <xf numFmtId="0" fontId="0" fillId="3" borderId="3" xfId="0" applyFill="1" applyBorder="1"/>
    <xf numFmtId="0" fontId="57" fillId="3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54" fillId="3" borderId="0" xfId="0" applyFont="1" applyFill="1"/>
    <xf numFmtId="0" fontId="0" fillId="3" borderId="6" xfId="0" applyFill="1" applyBorder="1"/>
    <xf numFmtId="0" fontId="10" fillId="3" borderId="10" xfId="0" applyFont="1" applyFill="1" applyBorder="1" applyAlignment="1" applyProtection="1">
      <alignment vertical="top"/>
    </xf>
    <xf numFmtId="0" fontId="10" fillId="3" borderId="11" xfId="0" applyFont="1" applyFill="1" applyBorder="1" applyAlignment="1" applyProtection="1">
      <alignment vertical="top"/>
    </xf>
    <xf numFmtId="0" fontId="58" fillId="3" borderId="0" xfId="0" applyFont="1" applyFill="1" applyBorder="1" applyAlignment="1">
      <alignment wrapText="1"/>
    </xf>
    <xf numFmtId="2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4" xfId="0" applyBorder="1"/>
    <xf numFmtId="0" fontId="54" fillId="0" borderId="4" xfId="0" applyFont="1" applyFill="1" applyBorder="1" applyAlignment="1">
      <alignment horizontal="center"/>
    </xf>
    <xf numFmtId="0" fontId="113" fillId="0" borderId="0" xfId="0" applyFont="1" applyFill="1" applyBorder="1" applyAlignment="1">
      <alignment vertical="center"/>
    </xf>
    <xf numFmtId="0" fontId="59" fillId="4" borderId="0" xfId="0" applyFont="1" applyFill="1" applyBorder="1" applyAlignment="1">
      <alignment horizontal="center"/>
    </xf>
    <xf numFmtId="2" fontId="0" fillId="0" borderId="0" xfId="0" applyNumberFormat="1"/>
    <xf numFmtId="0" fontId="10" fillId="3" borderId="0" xfId="0" applyFont="1" applyFill="1" applyBorder="1" applyAlignment="1" applyProtection="1">
      <alignment horizontal="center" vertical="top"/>
    </xf>
    <xf numFmtId="2" fontId="0" fillId="0" borderId="11" xfId="0" applyNumberFormat="1" applyBorder="1"/>
    <xf numFmtId="0" fontId="0" fillId="0" borderId="12" xfId="0" applyBorder="1"/>
    <xf numFmtId="2" fontId="0" fillId="0" borderId="10" xfId="0" applyNumberFormat="1" applyBorder="1"/>
    <xf numFmtId="0" fontId="54" fillId="0" borderId="0" xfId="0" applyFont="1" applyFill="1" applyBorder="1" applyAlignment="1">
      <alignment horizontal="center"/>
    </xf>
    <xf numFmtId="165" fontId="56" fillId="4" borderId="0" xfId="0" applyNumberFormat="1" applyFont="1" applyFill="1" applyBorder="1" applyAlignment="1">
      <alignment horizontal="center" vertical="center"/>
    </xf>
    <xf numFmtId="2" fontId="56" fillId="4" borderId="0" xfId="0" applyNumberFormat="1" applyFont="1" applyFill="1" applyBorder="1" applyAlignment="1">
      <alignment horizontal="center" vertical="center"/>
    </xf>
    <xf numFmtId="1" fontId="56" fillId="4" borderId="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4" xfId="0" applyFill="1" applyBorder="1"/>
    <xf numFmtId="2" fontId="0" fillId="0" borderId="0" xfId="0" applyNumberFormat="1"/>
    <xf numFmtId="0" fontId="59" fillId="3" borderId="4" xfId="0" applyFont="1" applyFill="1" applyBorder="1" applyAlignment="1">
      <alignment vertical="center" wrapText="1"/>
    </xf>
    <xf numFmtId="1" fontId="59" fillId="3" borderId="5" xfId="4" applyNumberFormat="1" applyFont="1" applyFill="1" applyBorder="1" applyAlignment="1"/>
    <xf numFmtId="1" fontId="59" fillId="3" borderId="0" xfId="4" applyNumberFormat="1" applyFont="1" applyFill="1" applyBorder="1" applyAlignment="1">
      <alignment vertical="center" wrapText="1"/>
    </xf>
    <xf numFmtId="0" fontId="0" fillId="0" borderId="0" xfId="0"/>
    <xf numFmtId="0" fontId="59" fillId="5" borderId="0" xfId="0" applyFont="1" applyFill="1" applyBorder="1" applyAlignment="1" applyProtection="1">
      <alignment horizontal="center" vertical="center"/>
      <protection locked="0"/>
    </xf>
    <xf numFmtId="0" fontId="59" fillId="5" borderId="0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86" fillId="3" borderId="3" xfId="0" applyFont="1" applyFill="1" applyBorder="1" applyAlignment="1">
      <alignment vertical="center"/>
    </xf>
    <xf numFmtId="0" fontId="52" fillId="0" borderId="1" xfId="0" applyFont="1" applyBorder="1" applyAlignment="1" applyProtection="1">
      <alignment horizontal="center"/>
      <protection locked="0"/>
    </xf>
    <xf numFmtId="0" fontId="117" fillId="3" borderId="10" xfId="0" applyFont="1" applyFill="1" applyBorder="1" applyAlignment="1" applyProtection="1">
      <alignment horizontal="center" vertical="top"/>
    </xf>
    <xf numFmtId="0" fontId="0" fillId="0" borderId="0" xfId="0"/>
    <xf numFmtId="0" fontId="57" fillId="3" borderId="4" xfId="0" applyFon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66" fillId="3" borderId="0" xfId="0" applyFont="1" applyFill="1" applyBorder="1" applyAlignment="1">
      <alignment vertical="center"/>
    </xf>
    <xf numFmtId="0" fontId="57" fillId="3" borderId="4" xfId="0" applyFont="1" applyFill="1" applyBorder="1" applyAlignment="1">
      <alignment vertical="center" wrapText="1"/>
    </xf>
    <xf numFmtId="0" fontId="57" fillId="3" borderId="0" xfId="0" applyFont="1" applyFill="1" applyBorder="1" applyAlignment="1">
      <alignment vertical="center" wrapText="1"/>
    </xf>
    <xf numFmtId="0" fontId="57" fillId="3" borderId="5" xfId="0" applyFont="1" applyFill="1" applyBorder="1" applyAlignment="1">
      <alignment vertical="center" wrapText="1"/>
    </xf>
    <xf numFmtId="0" fontId="57" fillId="3" borderId="4" xfId="0" applyFont="1" applyFill="1" applyBorder="1" applyAlignment="1">
      <alignment vertical="center"/>
    </xf>
    <xf numFmtId="0" fontId="122" fillId="3" borderId="0" xfId="0" applyFont="1" applyFill="1" applyBorder="1" applyAlignment="1">
      <alignment horizontal="left" vertical="center"/>
    </xf>
    <xf numFmtId="0" fontId="57" fillId="3" borderId="0" xfId="0" applyFont="1" applyFill="1" applyAlignment="1">
      <alignment vertical="center" wrapText="1"/>
    </xf>
    <xf numFmtId="0" fontId="68" fillId="3" borderId="0" xfId="0" applyFont="1" applyFill="1" applyBorder="1" applyAlignment="1">
      <alignment horizontal="center" vertical="center" wrapText="1"/>
    </xf>
    <xf numFmtId="0" fontId="69" fillId="3" borderId="0" xfId="0" applyFont="1" applyFill="1" applyBorder="1" applyAlignment="1">
      <alignment vertical="center" wrapText="1"/>
    </xf>
    <xf numFmtId="3" fontId="121" fillId="4" borderId="0" xfId="0" applyNumberFormat="1" applyFont="1" applyFill="1" applyBorder="1" applyAlignment="1">
      <alignment horizontal="right" vertical="center" wrapText="1"/>
    </xf>
    <xf numFmtId="0" fontId="83" fillId="3" borderId="0" xfId="0" applyFont="1" applyFill="1" applyBorder="1" applyAlignment="1">
      <alignment vertical="center" wrapText="1"/>
    </xf>
    <xf numFmtId="0" fontId="116" fillId="3" borderId="0" xfId="0" applyFont="1" applyFill="1" applyBorder="1" applyAlignment="1">
      <alignment horizontal="center" vertical="top" wrapText="1"/>
    </xf>
    <xf numFmtId="2" fontId="122" fillId="0" borderId="0" xfId="0" applyNumberFormat="1" applyFont="1" applyFill="1" applyBorder="1" applyAlignment="1" applyProtection="1">
      <alignment horizontal="center" vertical="center"/>
      <protection locked="0"/>
    </xf>
    <xf numFmtId="0" fontId="86" fillId="0" borderId="0" xfId="0" applyFont="1" applyFill="1" applyBorder="1" applyAlignment="1" applyProtection="1">
      <alignment horizontal="center" vertical="center" wrapText="1"/>
      <protection locked="0"/>
    </xf>
    <xf numFmtId="0" fontId="57" fillId="3" borderId="0" xfId="0" applyFont="1" applyFill="1" applyAlignment="1" applyProtection="1">
      <alignment vertical="center" wrapText="1"/>
    </xf>
    <xf numFmtId="0" fontId="57" fillId="3" borderId="0" xfId="0" applyFont="1" applyFill="1" applyBorder="1" applyAlignment="1" applyProtection="1">
      <alignment vertical="center" wrapText="1"/>
    </xf>
    <xf numFmtId="0" fontId="0" fillId="0" borderId="1" xfId="0" applyFill="1" applyBorder="1" applyAlignment="1" applyProtection="1">
      <alignment horizontal="center" vertical="center"/>
      <protection locked="0"/>
    </xf>
    <xf numFmtId="0" fontId="59" fillId="5" borderId="0" xfId="0" applyFont="1" applyFill="1" applyBorder="1" applyAlignment="1" applyProtection="1">
      <alignment horizontal="center" vertical="center"/>
    </xf>
    <xf numFmtId="0" fontId="123" fillId="3" borderId="0" xfId="8" applyFill="1" applyAlignment="1" applyProtection="1">
      <alignment vertical="top"/>
    </xf>
    <xf numFmtId="0" fontId="0" fillId="0" borderId="0" xfId="0"/>
    <xf numFmtId="0" fontId="57" fillId="3" borderId="4" xfId="0" applyFont="1" applyFill="1" applyBorder="1" applyAlignment="1">
      <alignment horizontal="center" vertical="center" wrapText="1"/>
    </xf>
    <xf numFmtId="3" fontId="121" fillId="4" borderId="0" xfId="0" applyNumberFormat="1" applyFont="1" applyFill="1" applyBorder="1" applyAlignment="1">
      <alignment vertical="center" wrapText="1"/>
    </xf>
    <xf numFmtId="0" fontId="54" fillId="3" borderId="6" xfId="0" applyFont="1" applyFill="1" applyBorder="1" applyAlignment="1">
      <alignment vertical="center" wrapText="1"/>
    </xf>
    <xf numFmtId="0" fontId="68" fillId="3" borderId="4" xfId="0" applyFont="1" applyFill="1" applyBorder="1" applyAlignment="1">
      <alignment horizontal="center" vertical="center"/>
    </xf>
    <xf numFmtId="2" fontId="54" fillId="3" borderId="0" xfId="0" applyNumberFormat="1" applyFont="1" applyFill="1" applyBorder="1" applyAlignment="1">
      <alignment vertical="top" wrapText="1"/>
    </xf>
    <xf numFmtId="0" fontId="116" fillId="0" borderId="0" xfId="0" applyFont="1" applyFill="1" applyBorder="1" applyAlignment="1">
      <alignment vertical="center" wrapText="1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2" fontId="69" fillId="0" borderId="0" xfId="0" applyNumberFormat="1" applyFont="1" applyFill="1" applyBorder="1" applyAlignment="1" applyProtection="1">
      <alignment vertical="center" wrapText="1"/>
      <protection locked="0"/>
    </xf>
    <xf numFmtId="1" fontId="0" fillId="0" borderId="1" xfId="0" applyNumberFormat="1" applyFill="1" applyBorder="1" applyAlignment="1" applyProtection="1">
      <alignment horizontal="center" vertical="center"/>
      <protection locked="0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1" fontId="0" fillId="0" borderId="0" xfId="4" applyNumberFormat="1" applyFont="1" applyFill="1" applyBorder="1" applyAlignment="1" applyProtection="1">
      <alignment horizontal="center" vertical="center"/>
      <protection locked="0"/>
    </xf>
    <xf numFmtId="3" fontId="0" fillId="0" borderId="0" xfId="0" applyNumberFormat="1" applyFill="1" applyBorder="1" applyAlignment="1" applyProtection="1">
      <alignment horizontal="center" vertical="center"/>
      <protection locked="0"/>
    </xf>
    <xf numFmtId="9" fontId="0" fillId="0" borderId="0" xfId="4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0" fillId="0" borderId="0" xfId="0"/>
    <xf numFmtId="0" fontId="59" fillId="4" borderId="0" xfId="0" applyFont="1" applyFill="1" applyBorder="1" applyAlignment="1">
      <alignment horizontal="center"/>
    </xf>
    <xf numFmtId="0" fontId="0" fillId="0" borderId="0" xfId="0"/>
    <xf numFmtId="0" fontId="55" fillId="3" borderId="0" xfId="0" applyFont="1" applyFill="1" applyBorder="1" applyAlignment="1">
      <alignment horizontal="center" vertical="center" wrapText="1"/>
    </xf>
    <xf numFmtId="0" fontId="57" fillId="3" borderId="0" xfId="0" applyFont="1" applyFill="1" applyBorder="1" applyAlignment="1">
      <alignment horizontal="center" vertical="center" wrapText="1"/>
    </xf>
    <xf numFmtId="164" fontId="68" fillId="0" borderId="0" xfId="1" applyFont="1" applyFill="1" applyBorder="1" applyAlignment="1" applyProtection="1">
      <alignment vertical="center"/>
      <protection locked="0"/>
    </xf>
    <xf numFmtId="0" fontId="86" fillId="0" borderId="0" xfId="0" applyFont="1" applyFill="1" applyBorder="1" applyAlignment="1" applyProtection="1">
      <alignment vertical="center"/>
      <protection locked="0"/>
    </xf>
    <xf numFmtId="0" fontId="60" fillId="3" borderId="2" xfId="0" applyFont="1" applyFill="1" applyBorder="1" applyAlignment="1">
      <alignment vertical="center" wrapText="1"/>
    </xf>
    <xf numFmtId="2" fontId="118" fillId="3" borderId="0" xfId="0" applyNumberFormat="1" applyFont="1" applyFill="1" applyBorder="1" applyAlignment="1">
      <alignment horizontal="center" vertical="center"/>
    </xf>
    <xf numFmtId="1" fontId="118" fillId="3" borderId="0" xfId="0" applyNumberFormat="1" applyFont="1" applyFill="1" applyBorder="1" applyAlignment="1">
      <alignment horizontal="center" vertical="center"/>
    </xf>
    <xf numFmtId="165" fontId="118" fillId="3" borderId="0" xfId="0" applyNumberFormat="1" applyFont="1" applyFill="1" applyBorder="1" applyAlignment="1">
      <alignment horizontal="center" vertical="center"/>
    </xf>
    <xf numFmtId="165" fontId="119" fillId="3" borderId="0" xfId="0" applyNumberFormat="1" applyFont="1" applyFill="1" applyBorder="1" applyAlignment="1">
      <alignment horizontal="center" vertical="center"/>
    </xf>
    <xf numFmtId="0" fontId="120" fillId="3" borderId="0" xfId="0" applyFont="1" applyFill="1" applyBorder="1" applyAlignment="1">
      <alignment horizontal="right" vertical="center"/>
    </xf>
    <xf numFmtId="0" fontId="120" fillId="3" borderId="0" xfId="0" applyFont="1" applyFill="1" applyBorder="1" applyAlignment="1">
      <alignment horizontal="left" vertical="center"/>
    </xf>
    <xf numFmtId="2" fontId="118" fillId="3" borderId="7" xfId="0" applyNumberFormat="1" applyFont="1" applyFill="1" applyBorder="1" applyAlignment="1">
      <alignment horizontal="center" vertical="center"/>
    </xf>
    <xf numFmtId="1" fontId="118" fillId="3" borderId="7" xfId="0" applyNumberFormat="1" applyFont="1" applyFill="1" applyBorder="1" applyAlignment="1">
      <alignment horizontal="center" vertical="center"/>
    </xf>
    <xf numFmtId="165" fontId="118" fillId="3" borderId="7" xfId="0" applyNumberFormat="1" applyFont="1" applyFill="1" applyBorder="1" applyAlignment="1">
      <alignment horizontal="center" vertical="center"/>
    </xf>
    <xf numFmtId="165" fontId="119" fillId="3" borderId="7" xfId="0" applyNumberFormat="1" applyFont="1" applyFill="1" applyBorder="1" applyAlignment="1">
      <alignment horizontal="center" vertical="center"/>
    </xf>
    <xf numFmtId="0" fontId="120" fillId="3" borderId="7" xfId="0" applyFont="1" applyFill="1" applyBorder="1" applyAlignment="1">
      <alignment horizontal="right" vertical="center"/>
    </xf>
    <xf numFmtId="0" fontId="120" fillId="3" borderId="7" xfId="0" applyFont="1" applyFill="1" applyBorder="1" applyAlignment="1">
      <alignment horizontal="left" vertical="center"/>
    </xf>
    <xf numFmtId="0" fontId="69" fillId="3" borderId="0" xfId="0" applyFont="1" applyFill="1" applyBorder="1" applyAlignment="1">
      <alignment horizontal="center" vertical="center" wrapText="1"/>
    </xf>
    <xf numFmtId="0" fontId="68" fillId="4" borderId="0" xfId="0" applyFont="1" applyFill="1" applyBorder="1" applyAlignment="1">
      <alignment horizontal="center"/>
    </xf>
    <xf numFmtId="0" fontId="117" fillId="3" borderId="10" xfId="0" applyFont="1" applyFill="1" applyBorder="1" applyAlignment="1" applyProtection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54" fillId="3" borderId="0" xfId="0" applyFont="1" applyFill="1" applyAlignment="1" applyProtection="1">
      <alignment horizontal="center" vertical="center" wrapText="1"/>
    </xf>
    <xf numFmtId="1" fontId="86" fillId="3" borderId="0" xfId="4" applyNumberFormat="1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vertical="center"/>
    </xf>
    <xf numFmtId="164" fontId="21" fillId="3" borderId="0" xfId="2" applyFont="1" applyFill="1" applyBorder="1" applyAlignment="1" applyProtection="1">
      <alignment vertical="center" wrapText="1"/>
      <protection locked="0"/>
    </xf>
    <xf numFmtId="0" fontId="6" fillId="3" borderId="0" xfId="0" applyFont="1" applyFill="1" applyBorder="1" applyAlignment="1" applyProtection="1">
      <alignment horizontal="center" vertical="center"/>
    </xf>
    <xf numFmtId="1" fontId="59" fillId="3" borderId="0" xfId="4" applyNumberFormat="1" applyFont="1" applyFill="1" applyBorder="1" applyAlignment="1"/>
    <xf numFmtId="0" fontId="86" fillId="3" borderId="0" xfId="0" applyFont="1" applyFill="1" applyBorder="1" applyAlignment="1">
      <alignment vertical="center"/>
    </xf>
    <xf numFmtId="0" fontId="132" fillId="3" borderId="46" xfId="0" applyFont="1" applyFill="1" applyBorder="1" applyAlignment="1" applyProtection="1">
      <alignment vertical="center" wrapText="1"/>
    </xf>
    <xf numFmtId="0" fontId="132" fillId="3" borderId="0" xfId="0" applyFont="1" applyFill="1" applyBorder="1" applyAlignment="1" applyProtection="1">
      <alignment vertical="center" wrapText="1"/>
    </xf>
    <xf numFmtId="2" fontId="133" fillId="2" borderId="1" xfId="0" applyNumberFormat="1" applyFont="1" applyFill="1" applyBorder="1" applyAlignment="1">
      <alignment horizontal="center" vertical="center"/>
    </xf>
    <xf numFmtId="165" fontId="133" fillId="2" borderId="1" xfId="0" applyNumberFormat="1" applyFont="1" applyFill="1" applyBorder="1" applyAlignment="1">
      <alignment horizontal="center" vertical="center"/>
    </xf>
    <xf numFmtId="1" fontId="133" fillId="2" borderId="1" xfId="0" applyNumberFormat="1" applyFont="1" applyFill="1" applyBorder="1" applyAlignment="1">
      <alignment horizontal="center" vertical="center"/>
    </xf>
    <xf numFmtId="0" fontId="55" fillId="3" borderId="0" xfId="0" applyFont="1" applyFill="1" applyBorder="1" applyAlignment="1">
      <alignment horizontal="center" vertical="center" wrapText="1"/>
    </xf>
    <xf numFmtId="0" fontId="64" fillId="4" borderId="0" xfId="0" applyFont="1" applyFill="1" applyBorder="1" applyAlignment="1">
      <alignment vertical="center" wrapText="1"/>
    </xf>
    <xf numFmtId="0" fontId="98" fillId="4" borderId="0" xfId="0" applyFont="1" applyFill="1" applyBorder="1" applyAlignment="1">
      <alignment vertical="center"/>
    </xf>
    <xf numFmtId="0" fontId="86" fillId="3" borderId="2" xfId="0" applyFont="1" applyFill="1" applyBorder="1" applyAlignment="1"/>
    <xf numFmtId="0" fontId="86" fillId="3" borderId="0" xfId="0" applyFont="1" applyFill="1" applyBorder="1" applyAlignment="1"/>
    <xf numFmtId="0" fontId="59" fillId="4" borderId="0" xfId="0" applyFont="1" applyFill="1" applyBorder="1" applyAlignment="1"/>
    <xf numFmtId="168" fontId="118" fillId="4" borderId="0" xfId="4" applyNumberFormat="1" applyFont="1" applyFill="1" applyBorder="1" applyAlignment="1">
      <alignment vertical="center"/>
    </xf>
    <xf numFmtId="165" fontId="133" fillId="2" borderId="14" xfId="0" applyNumberFormat="1" applyFont="1" applyFill="1" applyBorder="1" applyAlignment="1">
      <alignment horizontal="center" vertical="center"/>
    </xf>
    <xf numFmtId="1" fontId="118" fillId="4" borderId="0" xfId="0" applyNumberFormat="1" applyFont="1" applyFill="1" applyBorder="1" applyAlignment="1">
      <alignment vertical="center"/>
    </xf>
    <xf numFmtId="0" fontId="59" fillId="3" borderId="0" xfId="0" applyFont="1" applyFill="1" applyBorder="1" applyAlignment="1"/>
    <xf numFmtId="168" fontId="118" fillId="3" borderId="0" xfId="4" applyNumberFormat="1" applyFont="1" applyFill="1" applyBorder="1" applyAlignment="1">
      <alignment vertical="center"/>
    </xf>
    <xf numFmtId="165" fontId="18" fillId="4" borderId="1" xfId="0" applyNumberFormat="1" applyFont="1" applyFill="1" applyBorder="1" applyAlignment="1" applyProtection="1">
      <alignment horizontal="center" vertical="center"/>
    </xf>
    <xf numFmtId="165" fontId="19" fillId="4" borderId="15" xfId="0" applyNumberFormat="1" applyFont="1" applyFill="1" applyBorder="1" applyAlignment="1" applyProtection="1">
      <alignment horizontal="center" vertical="center"/>
    </xf>
    <xf numFmtId="0" fontId="91" fillId="4" borderId="13" xfId="0" applyNumberFormat="1" applyFont="1" applyFill="1" applyBorder="1" applyAlignment="1" applyProtection="1">
      <alignment horizontal="center" vertical="center"/>
    </xf>
    <xf numFmtId="165" fontId="37" fillId="4" borderId="13" xfId="0" applyNumberFormat="1" applyFont="1" applyFill="1" applyBorder="1" applyAlignment="1" applyProtection="1">
      <alignment horizontal="center" vertical="center"/>
    </xf>
    <xf numFmtId="0" fontId="13" fillId="3" borderId="0" xfId="0" applyFont="1" applyFill="1" applyBorder="1" applyAlignment="1" applyProtection="1">
      <alignment horizontal="center" vertical="center"/>
    </xf>
    <xf numFmtId="0" fontId="14" fillId="3" borderId="0" xfId="0" applyFont="1" applyFill="1" applyBorder="1" applyAlignment="1" applyProtection="1">
      <alignment horizontal="left" vertical="center" wrapText="1"/>
    </xf>
    <xf numFmtId="0" fontId="19" fillId="4" borderId="15" xfId="0" applyFont="1" applyFill="1" applyBorder="1" applyAlignment="1" applyProtection="1">
      <alignment horizontal="center" vertical="center"/>
    </xf>
    <xf numFmtId="0" fontId="21" fillId="4" borderId="13" xfId="0" applyFont="1" applyFill="1" applyBorder="1" applyAlignment="1" applyProtection="1">
      <alignment horizontal="center" vertical="center" wrapText="1"/>
    </xf>
    <xf numFmtId="1" fontId="56" fillId="4" borderId="0" xfId="0" applyNumberFormat="1" applyFont="1" applyFill="1" applyBorder="1" applyAlignment="1">
      <alignment horizontal="center" vertical="center"/>
    </xf>
    <xf numFmtId="0" fontId="108" fillId="0" borderId="0" xfId="0" applyFont="1" applyFill="1" applyBorder="1" applyAlignment="1">
      <alignment horizontal="center" vertical="top"/>
    </xf>
    <xf numFmtId="0" fontId="108" fillId="0" borderId="0" xfId="0" applyFont="1" applyFill="1" applyBorder="1" applyAlignment="1">
      <alignment vertical="top"/>
    </xf>
    <xf numFmtId="0" fontId="135" fillId="0" borderId="0" xfId="0" applyFont="1" applyFill="1" applyBorder="1" applyAlignment="1">
      <alignment vertical="top" wrapText="1"/>
    </xf>
    <xf numFmtId="165" fontId="0" fillId="0" borderId="0" xfId="0" applyNumberFormat="1" applyFont="1" applyAlignment="1"/>
    <xf numFmtId="165" fontId="79" fillId="0" borderId="1" xfId="0" applyNumberFormat="1" applyFont="1" applyBorder="1"/>
    <xf numFmtId="0" fontId="0" fillId="0" borderId="0" xfId="0" applyFont="1" applyFill="1" applyBorder="1" applyAlignment="1">
      <alignment horizontal="center"/>
    </xf>
    <xf numFmtId="165" fontId="56" fillId="4" borderId="0" xfId="0" applyNumberFormat="1" applyFont="1" applyFill="1" applyBorder="1" applyAlignment="1">
      <alignment horizontal="center" vertical="center"/>
    </xf>
    <xf numFmtId="0" fontId="0" fillId="0" borderId="0" xfId="0"/>
    <xf numFmtId="0" fontId="80" fillId="3" borderId="0" xfId="0" applyFont="1" applyFill="1" applyBorder="1" applyAlignment="1" applyProtection="1">
      <alignment horizontal="center" vertical="top"/>
    </xf>
    <xf numFmtId="0" fontId="57" fillId="3" borderId="4" xfId="0" applyFont="1" applyFill="1" applyBorder="1" applyAlignment="1">
      <alignment horizontal="center" vertical="center" wrapText="1"/>
    </xf>
    <xf numFmtId="2" fontId="56" fillId="4" borderId="0" xfId="0" applyNumberFormat="1" applyFont="1" applyFill="1" applyBorder="1" applyAlignment="1">
      <alignment horizontal="center" vertical="center"/>
    </xf>
    <xf numFmtId="1" fontId="56" fillId="4" borderId="0" xfId="0" applyNumberFormat="1" applyFont="1" applyFill="1" applyBorder="1" applyAlignment="1">
      <alignment horizontal="center" vertical="center"/>
    </xf>
    <xf numFmtId="0" fontId="57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9" borderId="0" xfId="0" applyFill="1" applyBorder="1"/>
    <xf numFmtId="1" fontId="0" fillId="9" borderId="0" xfId="0" applyNumberFormat="1" applyFill="1" applyBorder="1" applyAlignment="1">
      <alignment horizontal="center"/>
    </xf>
    <xf numFmtId="2" fontId="0" fillId="9" borderId="0" xfId="0" applyNumberForma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65" fontId="0" fillId="9" borderId="0" xfId="0" applyNumberFormat="1" applyFill="1" applyBorder="1" applyAlignment="1">
      <alignment horizontal="center"/>
    </xf>
    <xf numFmtId="0" fontId="68" fillId="3" borderId="0" xfId="0" applyFont="1" applyFill="1" applyBorder="1"/>
    <xf numFmtId="0" fontId="69" fillId="3" borderId="0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0" fontId="54" fillId="3" borderId="0" xfId="0" applyFont="1" applyFill="1" applyAlignment="1" applyProtection="1">
      <alignment horizontal="center" vertical="center" wrapText="1"/>
    </xf>
    <xf numFmtId="17" fontId="81" fillId="0" borderId="1" xfId="0" applyNumberFormat="1" applyFont="1" applyBorder="1"/>
    <xf numFmtId="0" fontId="0" fillId="3" borderId="0" xfId="0" applyFill="1" applyAlignment="1">
      <alignment horizontal="center"/>
    </xf>
    <xf numFmtId="0" fontId="0" fillId="0" borderId="0" xfId="0"/>
    <xf numFmtId="0" fontId="59" fillId="3" borderId="0" xfId="0" applyFont="1" applyFill="1" applyAlignment="1">
      <alignment horizontal="center" vertical="center"/>
    </xf>
    <xf numFmtId="0" fontId="87" fillId="4" borderId="32" xfId="0" applyFont="1" applyFill="1" applyBorder="1" applyAlignment="1">
      <alignment horizontal="center" vertical="center"/>
    </xf>
    <xf numFmtId="0" fontId="87" fillId="4" borderId="34" xfId="0" applyFont="1" applyFill="1" applyBorder="1" applyAlignment="1">
      <alignment horizontal="center" vertical="center"/>
    </xf>
    <xf numFmtId="0" fontId="87" fillId="3" borderId="0" xfId="0" applyFont="1" applyFill="1" applyAlignment="1">
      <alignment vertical="center"/>
    </xf>
    <xf numFmtId="0" fontId="142" fillId="3" borderId="0" xfId="0" applyFont="1" applyFill="1" applyAlignment="1"/>
    <xf numFmtId="0" fontId="0" fillId="3" borderId="0" xfId="0" applyFill="1" applyAlignment="1">
      <alignment horizontal="center" vertical="center" wrapText="1"/>
    </xf>
    <xf numFmtId="0" fontId="73" fillId="3" borderId="0" xfId="0" applyFont="1" applyFill="1" applyAlignment="1">
      <alignment horizontal="center" vertical="center"/>
    </xf>
    <xf numFmtId="0" fontId="73" fillId="3" borderId="0" xfId="0" applyFont="1" applyFill="1"/>
    <xf numFmtId="0" fontId="73" fillId="3" borderId="0" xfId="0" applyFont="1" applyFill="1" applyAlignment="1">
      <alignment horizontal="center" vertical="center" wrapText="1"/>
    </xf>
    <xf numFmtId="0" fontId="59" fillId="3" borderId="0" xfId="0" applyFont="1" applyFill="1" applyAlignment="1">
      <alignment horizontal="left"/>
    </xf>
    <xf numFmtId="165" fontId="69" fillId="3" borderId="0" xfId="0" applyNumberFormat="1" applyFont="1" applyFill="1" applyAlignment="1">
      <alignment horizontal="center" vertical="center"/>
    </xf>
    <xf numFmtId="0" fontId="59" fillId="3" borderId="0" xfId="0" applyFont="1" applyFill="1"/>
    <xf numFmtId="0" fontId="74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65" fontId="85" fillId="3" borderId="0" xfId="0" applyNumberFormat="1" applyFont="1" applyFill="1" applyAlignment="1">
      <alignment horizontal="right" vertical="center"/>
    </xf>
    <xf numFmtId="0" fontId="69" fillId="3" borderId="0" xfId="0" applyFont="1" applyFill="1"/>
    <xf numFmtId="0" fontId="59" fillId="3" borderId="0" xfId="0" applyFont="1" applyFill="1" applyAlignment="1">
      <alignment vertical="center"/>
    </xf>
    <xf numFmtId="0" fontId="53" fillId="3" borderId="0" xfId="0" applyFont="1" applyFill="1" applyAlignment="1">
      <alignment vertical="center"/>
    </xf>
    <xf numFmtId="0" fontId="59" fillId="3" borderId="0" xfId="0" applyFont="1" applyFill="1" applyAlignment="1"/>
    <xf numFmtId="1" fontId="68" fillId="3" borderId="0" xfId="0" applyNumberFormat="1" applyFont="1" applyFill="1" applyAlignment="1">
      <alignment horizontal="center" vertical="center"/>
    </xf>
    <xf numFmtId="1" fontId="68" fillId="3" borderId="0" xfId="0" applyNumberFormat="1" applyFont="1" applyFill="1"/>
    <xf numFmtId="165" fontId="76" fillId="3" borderId="0" xfId="0" applyNumberFormat="1" applyFont="1" applyFill="1" applyAlignment="1">
      <alignment vertical="center"/>
    </xf>
    <xf numFmtId="0" fontId="74" fillId="3" borderId="0" xfId="0" applyFont="1" applyFill="1" applyAlignment="1">
      <alignment vertical="center"/>
    </xf>
    <xf numFmtId="0" fontId="74" fillId="3" borderId="0" xfId="0" applyFont="1" applyFill="1"/>
    <xf numFmtId="0" fontId="68" fillId="3" borderId="0" xfId="0" applyFont="1" applyFill="1"/>
    <xf numFmtId="0" fontId="68" fillId="3" borderId="0" xfId="0" applyFont="1" applyFill="1" applyAlignment="1">
      <alignment horizontal="center" vertical="center"/>
    </xf>
    <xf numFmtId="0" fontId="145" fillId="3" borderId="9" xfId="0" applyFont="1" applyFill="1" applyBorder="1" applyAlignment="1">
      <alignment horizontal="left"/>
    </xf>
    <xf numFmtId="0" fontId="145" fillId="3" borderId="2" xfId="0" applyFont="1" applyFill="1" applyBorder="1" applyAlignment="1">
      <alignment horizontal="left"/>
    </xf>
    <xf numFmtId="0" fontId="55" fillId="3" borderId="0" xfId="0" applyFont="1" applyFill="1" applyAlignment="1">
      <alignment horizontal="center"/>
    </xf>
    <xf numFmtId="0" fontId="57" fillId="3" borderId="0" xfId="0" applyFont="1" applyFill="1" applyAlignment="1">
      <alignment horizontal="center" vertical="center"/>
    </xf>
    <xf numFmtId="165" fontId="73" fillId="3" borderId="0" xfId="0" applyNumberFormat="1" applyFont="1" applyFill="1" applyAlignment="1">
      <alignment horizontal="center" vertical="center"/>
    </xf>
    <xf numFmtId="165" fontId="85" fillId="3" borderId="0" xfId="0" applyNumberFormat="1" applyFont="1" applyFill="1"/>
    <xf numFmtId="0" fontId="87" fillId="3" borderId="0" xfId="0" applyFont="1" applyFill="1"/>
    <xf numFmtId="0" fontId="145" fillId="3" borderId="4" xfId="0" applyFont="1" applyFill="1" applyBorder="1" applyAlignment="1">
      <alignment horizontal="left"/>
    </xf>
    <xf numFmtId="0" fontId="145" fillId="3" borderId="0" xfId="0" applyFont="1" applyFill="1" applyBorder="1" applyAlignment="1">
      <alignment horizontal="left"/>
    </xf>
    <xf numFmtId="0" fontId="148" fillId="3" borderId="5" xfId="0" applyFont="1" applyFill="1" applyBorder="1"/>
    <xf numFmtId="0" fontId="149" fillId="3" borderId="5" xfId="0" applyFont="1" applyFill="1" applyBorder="1" applyAlignment="1">
      <alignment vertical="top"/>
    </xf>
    <xf numFmtId="0" fontId="0" fillId="0" borderId="30" xfId="0" applyBorder="1"/>
    <xf numFmtId="0" fontId="0" fillId="12" borderId="1" xfId="0" applyFill="1" applyBorder="1"/>
    <xf numFmtId="0" fontId="70" fillId="3" borderId="0" xfId="0" applyFont="1" applyFill="1" applyBorder="1" applyAlignment="1">
      <alignment vertical="center" wrapText="1"/>
    </xf>
    <xf numFmtId="0" fontId="77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59" fillId="4" borderId="0" xfId="0" applyFont="1" applyFill="1" applyBorder="1" applyAlignment="1">
      <alignment horizontal="center"/>
    </xf>
    <xf numFmtId="0" fontId="100" fillId="3" borderId="2" xfId="0" applyFont="1" applyFill="1" applyBorder="1" applyAlignment="1">
      <alignment vertical="top" wrapText="1"/>
    </xf>
    <xf numFmtId="0" fontId="100" fillId="3" borderId="0" xfId="0" applyFont="1" applyFill="1" applyBorder="1" applyAlignment="1">
      <alignment vertical="top" wrapText="1"/>
    </xf>
    <xf numFmtId="0" fontId="100" fillId="3" borderId="2" xfId="0" applyFont="1" applyFill="1" applyBorder="1" applyAlignment="1">
      <alignment vertical="center" wrapText="1"/>
    </xf>
    <xf numFmtId="0" fontId="100" fillId="3" borderId="3" xfId="0" applyFont="1" applyFill="1" applyBorder="1" applyAlignment="1">
      <alignment vertical="center" wrapText="1"/>
    </xf>
    <xf numFmtId="0" fontId="0" fillId="0" borderId="0" xfId="0"/>
    <xf numFmtId="165" fontId="15" fillId="2" borderId="1" xfId="0" applyNumberFormat="1" applyFont="1" applyFill="1" applyBorder="1" applyAlignment="1">
      <alignment vertical="center"/>
    </xf>
    <xf numFmtId="1" fontId="15" fillId="2" borderId="1" xfId="0" applyNumberFormat="1" applyFont="1" applyFill="1" applyBorder="1" applyAlignment="1">
      <alignment vertical="center"/>
    </xf>
    <xf numFmtId="165" fontId="15" fillId="2" borderId="14" xfId="0" applyNumberFormat="1" applyFont="1" applyFill="1" applyBorder="1" applyAlignment="1">
      <alignment vertical="center"/>
    </xf>
    <xf numFmtId="0" fontId="74" fillId="3" borderId="0" xfId="0" applyFont="1" applyFill="1" applyAlignment="1">
      <alignment horizontal="center" vertical="top"/>
    </xf>
    <xf numFmtId="0" fontId="74" fillId="3" borderId="0" xfId="0" applyFont="1" applyFill="1" applyAlignment="1">
      <alignment horizontal="center" vertical="top" wrapText="1"/>
    </xf>
    <xf numFmtId="0" fontId="74" fillId="3" borderId="23" xfId="0" applyNumberFormat="1" applyFont="1" applyFill="1" applyBorder="1" applyAlignment="1">
      <alignment horizontal="center" vertical="center"/>
    </xf>
    <xf numFmtId="0" fontId="74" fillId="3" borderId="23" xfId="0" applyFont="1" applyFill="1" applyBorder="1" applyAlignment="1">
      <alignment horizontal="center" vertical="center"/>
    </xf>
    <xf numFmtId="0" fontId="74" fillId="3" borderId="57" xfId="0" applyNumberFormat="1" applyFont="1" applyFill="1" applyBorder="1" applyAlignment="1">
      <alignment horizontal="center" vertical="center"/>
    </xf>
    <xf numFmtId="0" fontId="74" fillId="3" borderId="57" xfId="0" applyFont="1" applyFill="1" applyBorder="1" applyAlignment="1">
      <alignment horizontal="center" vertical="center"/>
    </xf>
    <xf numFmtId="0" fontId="0" fillId="0" borderId="0" xfId="0" applyFill="1" applyBorder="1"/>
    <xf numFmtId="0" fontId="108" fillId="0" borderId="0" xfId="0" applyFont="1" applyFill="1" applyBorder="1" applyAlignment="1">
      <alignment vertical="top"/>
    </xf>
    <xf numFmtId="0" fontId="135" fillId="0" borderId="0" xfId="0" applyFont="1" applyFill="1" applyBorder="1" applyAlignment="1">
      <alignment vertical="top" wrapText="1"/>
    </xf>
    <xf numFmtId="0" fontId="53" fillId="11" borderId="0" xfId="0" applyFont="1" applyFill="1" applyBorder="1" applyAlignment="1">
      <alignment horizontal="left" vertical="center"/>
    </xf>
    <xf numFmtId="0" fontId="74" fillId="0" borderId="0" xfId="0" applyFont="1" applyBorder="1" applyAlignment="1" applyProtection="1">
      <alignment horizontal="center" vertical="center"/>
      <protection locked="0"/>
    </xf>
    <xf numFmtId="0" fontId="74" fillId="0" borderId="1" xfId="0" applyFont="1" applyBorder="1" applyAlignment="1" applyProtection="1">
      <alignment horizontal="center" vertical="center"/>
      <protection locked="0"/>
    </xf>
    <xf numFmtId="2" fontId="74" fillId="0" borderId="1" xfId="0" applyNumberFormat="1" applyFont="1" applyBorder="1" applyAlignment="1" applyProtection="1">
      <alignment horizontal="center" vertical="center"/>
      <protection locked="0"/>
    </xf>
    <xf numFmtId="165" fontId="74" fillId="0" borderId="1" xfId="0" applyNumberFormat="1" applyFont="1" applyBorder="1" applyAlignment="1" applyProtection="1">
      <alignment horizontal="center" vertical="center"/>
      <protection locked="0"/>
    </xf>
    <xf numFmtId="1" fontId="74" fillId="0" borderId="1" xfId="0" applyNumberFormat="1" applyFont="1" applyFill="1" applyBorder="1" applyAlignment="1" applyProtection="1">
      <alignment horizontal="center" vertical="center"/>
      <protection locked="0"/>
    </xf>
    <xf numFmtId="165" fontId="74" fillId="0" borderId="1" xfId="0" applyNumberFormat="1" applyFont="1" applyFill="1" applyBorder="1" applyAlignment="1" applyProtection="1">
      <alignment horizontal="center" vertical="center"/>
      <protection locked="0"/>
    </xf>
    <xf numFmtId="0" fontId="74" fillId="11" borderId="57" xfId="0" applyNumberFormat="1" applyFont="1" applyFill="1" applyBorder="1" applyAlignment="1" applyProtection="1">
      <alignment horizontal="center" vertical="center"/>
      <protection locked="0"/>
    </xf>
    <xf numFmtId="2" fontId="59" fillId="0" borderId="0" xfId="0" applyNumberFormat="1" applyFont="1" applyFill="1" applyAlignment="1" applyProtection="1">
      <alignment horizontal="center" vertical="center"/>
      <protection locked="0"/>
    </xf>
    <xf numFmtId="2" fontId="59" fillId="3" borderId="0" xfId="0" applyNumberFormat="1" applyFont="1" applyFill="1" applyAlignment="1" applyProtection="1">
      <alignment horizontal="center" vertical="center"/>
      <protection locked="0"/>
    </xf>
    <xf numFmtId="0" fontId="59" fillId="0" borderId="0" xfId="0" applyFont="1" applyFill="1" applyAlignment="1" applyProtection="1">
      <alignment horizontal="center" vertical="center"/>
      <protection locked="0"/>
    </xf>
    <xf numFmtId="0" fontId="59" fillId="3" borderId="0" xfId="0" applyFont="1" applyFill="1" applyAlignment="1" applyProtection="1">
      <alignment horizontal="center" vertical="center"/>
      <protection locked="0"/>
    </xf>
    <xf numFmtId="0" fontId="59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153" fillId="0" borderId="0" xfId="0" applyFont="1" applyAlignment="1">
      <alignment vertical="center"/>
    </xf>
    <xf numFmtId="0" fontId="0" fillId="0" borderId="0" xfId="0"/>
    <xf numFmtId="0" fontId="83" fillId="0" borderId="0" xfId="0" applyFont="1" applyFill="1" applyBorder="1" applyAlignment="1">
      <alignment vertical="center" wrapText="1"/>
    </xf>
    <xf numFmtId="0" fontId="109" fillId="0" borderId="0" xfId="0" applyFont="1" applyFill="1" applyAlignment="1">
      <alignment vertical="center"/>
    </xf>
    <xf numFmtId="0" fontId="154" fillId="0" borderId="0" xfId="0" applyFont="1" applyFill="1" applyBorder="1" applyAlignment="1" applyProtection="1">
      <alignment horizontal="right" vertical="top"/>
    </xf>
    <xf numFmtId="0" fontId="74" fillId="0" borderId="0" xfId="0" applyFont="1" applyFill="1" applyBorder="1" applyAlignment="1">
      <alignment horizontal="right" vertical="center"/>
    </xf>
    <xf numFmtId="0" fontId="73" fillId="5" borderId="0" xfId="0" applyFont="1" applyFill="1" applyAlignment="1" applyProtection="1">
      <alignment horizontal="center" vertical="center"/>
      <protection locked="0"/>
    </xf>
    <xf numFmtId="0" fontId="74" fillId="0" borderId="0" xfId="0" applyFont="1" applyFill="1" applyAlignment="1" applyProtection="1">
      <alignment horizontal="center" vertical="center"/>
      <protection locked="0"/>
    </xf>
    <xf numFmtId="0" fontId="73" fillId="3" borderId="0" xfId="0" applyFont="1" applyFill="1" applyAlignment="1" applyProtection="1">
      <alignment horizontal="center" vertical="center"/>
      <protection locked="0"/>
    </xf>
    <xf numFmtId="0" fontId="74" fillId="3" borderId="0" xfId="0" applyFont="1" applyFill="1" applyAlignment="1" applyProtection="1">
      <alignment horizontal="center" vertical="center"/>
      <protection locked="0"/>
    </xf>
    <xf numFmtId="0" fontId="155" fillId="0" borderId="0" xfId="0" applyFont="1" applyFill="1" applyBorder="1"/>
    <xf numFmtId="1" fontId="74" fillId="3" borderId="0" xfId="0" applyNumberFormat="1" applyFont="1" applyFill="1" applyAlignment="1" applyProtection="1">
      <alignment horizontal="right" vertical="center"/>
      <protection locked="0"/>
    </xf>
    <xf numFmtId="0" fontId="78" fillId="0" borderId="0" xfId="0" applyFont="1" applyFill="1" applyBorder="1"/>
    <xf numFmtId="2" fontId="78" fillId="0" borderId="0" xfId="0" applyNumberFormat="1" applyFont="1" applyFill="1" applyBorder="1"/>
    <xf numFmtId="1" fontId="78" fillId="0" borderId="0" xfId="0" applyNumberFormat="1" applyFont="1" applyFill="1" applyBorder="1"/>
    <xf numFmtId="165" fontId="78" fillId="0" borderId="0" xfId="0" applyNumberFormat="1" applyFont="1" applyFill="1" applyBorder="1"/>
    <xf numFmtId="0" fontId="0" fillId="0" borderId="1" xfId="0" applyBorder="1" applyAlignment="1">
      <alignment horizontal="right"/>
    </xf>
    <xf numFmtId="1" fontId="0" fillId="0" borderId="1" xfId="0" applyNumberFormat="1" applyBorder="1"/>
    <xf numFmtId="0" fontId="0" fillId="0" borderId="1" xfId="0" applyFill="1" applyBorder="1" applyAlignment="1">
      <alignment horizontal="right"/>
    </xf>
    <xf numFmtId="165" fontId="0" fillId="0" borderId="1" xfId="0" applyNumberFormat="1" applyFill="1" applyBorder="1"/>
    <xf numFmtId="0" fontId="0" fillId="0" borderId="0" xfId="0" applyFont="1" applyBorder="1"/>
    <xf numFmtId="165" fontId="0" fillId="0" borderId="0" xfId="0" applyNumberFormat="1" applyFont="1" applyFill="1" applyBorder="1" applyAlignment="1"/>
    <xf numFmtId="0" fontId="0" fillId="0" borderId="0" xfId="0"/>
    <xf numFmtId="0" fontId="53" fillId="4" borderId="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67" fillId="3" borderId="5" xfId="0" applyFont="1" applyFill="1" applyBorder="1" applyAlignment="1">
      <alignment vertical="center" wrapText="1"/>
    </xf>
    <xf numFmtId="0" fontId="0" fillId="3" borderId="7" xfId="0" applyFill="1" applyBorder="1" applyAlignment="1">
      <alignment horizontal="center"/>
    </xf>
    <xf numFmtId="0" fontId="51" fillId="0" borderId="0" xfId="0" applyFont="1" applyAlignment="1">
      <alignment horizontal="left"/>
    </xf>
    <xf numFmtId="0" fontId="0" fillId="0" borderId="0" xfId="0"/>
    <xf numFmtId="0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2" fontId="0" fillId="12" borderId="0" xfId="0" applyNumberFormat="1" applyFill="1" applyBorder="1" applyAlignment="1">
      <alignment horizontal="center" vertical="center"/>
    </xf>
    <xf numFmtId="1" fontId="0" fillId="12" borderId="0" xfId="0" applyNumberFormat="1" applyFill="1" applyBorder="1" applyAlignment="1">
      <alignment horizontal="center" vertical="center"/>
    </xf>
    <xf numFmtId="0" fontId="67" fillId="3" borderId="0" xfId="0" applyFont="1" applyFill="1" applyBorder="1" applyAlignment="1">
      <alignment horizontal="center" vertical="center" wrapText="1"/>
    </xf>
    <xf numFmtId="49" fontId="57" fillId="3" borderId="0" xfId="0" applyNumberFormat="1" applyFont="1" applyFill="1" applyAlignment="1">
      <alignment vertical="top"/>
    </xf>
    <xf numFmtId="0" fontId="163" fillId="0" borderId="0" xfId="0" applyFont="1" applyFill="1"/>
    <xf numFmtId="49" fontId="57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top"/>
    </xf>
    <xf numFmtId="0" fontId="74" fillId="3" borderId="0" xfId="0" applyFont="1" applyFill="1" applyAlignment="1">
      <alignment horizontal="left" vertical="top"/>
    </xf>
    <xf numFmtId="0" fontId="0" fillId="0" borderId="0" xfId="0"/>
    <xf numFmtId="0" fontId="70" fillId="3" borderId="4" xfId="0" applyFont="1" applyFill="1" applyBorder="1" applyAlignment="1">
      <alignment vertical="top" wrapText="1"/>
    </xf>
    <xf numFmtId="0" fontId="70" fillId="3" borderId="0" xfId="0" applyFont="1" applyFill="1" applyBorder="1" applyAlignment="1">
      <alignment vertical="top" wrapText="1"/>
    </xf>
    <xf numFmtId="0" fontId="54" fillId="3" borderId="2" xfId="0" applyFont="1" applyFill="1" applyBorder="1" applyAlignment="1">
      <alignment vertical="top"/>
    </xf>
    <xf numFmtId="0" fontId="166" fillId="0" borderId="1" xfId="0" applyFont="1" applyBorder="1"/>
    <xf numFmtId="0" fontId="79" fillId="0" borderId="0" xfId="0" applyFont="1"/>
    <xf numFmtId="2" fontId="166" fillId="0" borderId="1" xfId="0" applyNumberFormat="1" applyFont="1" applyBorder="1"/>
    <xf numFmtId="1" fontId="166" fillId="0" borderId="1" xfId="0" applyNumberFormat="1" applyFont="1" applyBorder="1"/>
    <xf numFmtId="165" fontId="166" fillId="0" borderId="1" xfId="0" applyNumberFormat="1" applyFont="1" applyBorder="1"/>
    <xf numFmtId="2" fontId="166" fillId="0" borderId="1" xfId="0" applyNumberFormat="1" applyFont="1" applyFill="1" applyBorder="1"/>
    <xf numFmtId="1" fontId="166" fillId="0" borderId="1" xfId="0" applyNumberFormat="1" applyFont="1" applyFill="1" applyBorder="1"/>
    <xf numFmtId="165" fontId="166" fillId="0" borderId="1" xfId="0" applyNumberFormat="1" applyFont="1" applyFill="1" applyBorder="1"/>
    <xf numFmtId="0" fontId="166" fillId="0" borderId="0" xfId="0" applyFont="1" applyBorder="1"/>
    <xf numFmtId="0" fontId="79" fillId="0" borderId="0" xfId="0" applyFont="1" applyBorder="1" applyAlignment="1">
      <alignment horizontal="center" vertical="center"/>
    </xf>
    <xf numFmtId="0" fontId="79" fillId="0" borderId="0" xfId="0" applyFont="1" applyBorder="1"/>
    <xf numFmtId="0" fontId="69" fillId="3" borderId="0" xfId="0" applyFont="1" applyFill="1" applyBorder="1" applyAlignment="1">
      <alignment horizontal="center" vertical="center"/>
    </xf>
    <xf numFmtId="0" fontId="0" fillId="0" borderId="23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0" borderId="22" xfId="0" applyFill="1" applyBorder="1" applyProtection="1">
      <protection locked="0"/>
    </xf>
    <xf numFmtId="0" fontId="68" fillId="3" borderId="0" xfId="0" applyFont="1" applyFill="1" applyBorder="1" applyAlignment="1">
      <alignment vertical="top" wrapText="1"/>
    </xf>
    <xf numFmtId="164" fontId="69" fillId="3" borderId="0" xfId="0" applyNumberFormat="1" applyFont="1" applyFill="1" applyBorder="1" applyAlignment="1">
      <alignment vertical="center" wrapText="1"/>
    </xf>
    <xf numFmtId="0" fontId="88" fillId="3" borderId="2" xfId="0" applyFont="1" applyFill="1" applyBorder="1" applyAlignment="1">
      <alignment vertical="center"/>
    </xf>
    <xf numFmtId="164" fontId="75" fillId="3" borderId="0" xfId="0" applyNumberFormat="1" applyFont="1" applyFill="1" applyBorder="1" applyAlignment="1">
      <alignment vertical="top" wrapText="1"/>
    </xf>
    <xf numFmtId="166" fontId="53" fillId="4" borderId="0" xfId="1" applyNumberFormat="1" applyFont="1" applyFill="1" applyBorder="1" applyAlignment="1">
      <alignment horizontal="center" vertical="center"/>
    </xf>
    <xf numFmtId="0" fontId="68" fillId="4" borderId="0" xfId="0" applyFont="1" applyFill="1" applyBorder="1" applyAlignment="1">
      <alignment vertical="center" wrapText="1"/>
    </xf>
    <xf numFmtId="0" fontId="68" fillId="4" borderId="0" xfId="0" applyFont="1" applyFill="1" applyBorder="1" applyAlignment="1">
      <alignment wrapText="1"/>
    </xf>
    <xf numFmtId="0" fontId="68" fillId="4" borderId="0" xfId="0" applyFont="1" applyFill="1" applyBorder="1" applyAlignment="1">
      <alignment horizontal="center" wrapText="1"/>
    </xf>
    <xf numFmtId="164" fontId="21" fillId="3" borderId="0" xfId="2" applyNumberFormat="1" applyFont="1" applyFill="1" applyBorder="1" applyAlignment="1" applyProtection="1">
      <alignment horizontal="center" vertical="center"/>
      <protection locked="0"/>
    </xf>
    <xf numFmtId="1" fontId="169" fillId="3" borderId="0" xfId="0" applyNumberFormat="1" applyFont="1" applyFill="1" applyAlignment="1">
      <alignment horizontal="left" vertical="center"/>
    </xf>
    <xf numFmtId="1" fontId="169" fillId="3" borderId="0" xfId="0" applyNumberFormat="1" applyFont="1" applyFill="1" applyAlignment="1">
      <alignment horizontal="right" vertical="center"/>
    </xf>
    <xf numFmtId="0" fontId="60" fillId="11" borderId="0" xfId="0" applyFont="1" applyFill="1" applyBorder="1" applyAlignment="1" applyProtection="1">
      <alignment vertical="center"/>
      <protection locked="0"/>
    </xf>
    <xf numFmtId="0" fontId="170" fillId="11" borderId="0" xfId="0" applyFont="1" applyFill="1" applyBorder="1" applyAlignment="1">
      <alignment vertical="center"/>
    </xf>
    <xf numFmtId="0" fontId="82" fillId="3" borderId="0" xfId="0" applyFont="1" applyFill="1" applyBorder="1" applyAlignment="1">
      <alignment vertical="top" wrapText="1"/>
    </xf>
    <xf numFmtId="1" fontId="86" fillId="11" borderId="0" xfId="0" applyNumberFormat="1" applyFont="1" applyFill="1" applyBorder="1" applyAlignment="1">
      <alignment vertical="center"/>
    </xf>
    <xf numFmtId="0" fontId="0" fillId="0" borderId="0" xfId="0"/>
    <xf numFmtId="0" fontId="53" fillId="3" borderId="0" xfId="0" applyFont="1" applyFill="1" applyBorder="1" applyAlignment="1">
      <alignment horizontal="center" vertical="center"/>
    </xf>
    <xf numFmtId="0" fontId="69" fillId="3" borderId="0" xfId="0" applyFont="1" applyFill="1" applyBorder="1" applyAlignment="1" applyProtection="1">
      <alignment horizontal="center" vertical="center"/>
      <protection locked="0"/>
    </xf>
    <xf numFmtId="165" fontId="0" fillId="3" borderId="0" xfId="0" applyNumberFormat="1" applyFill="1" applyBorder="1"/>
    <xf numFmtId="167" fontId="0" fillId="3" borderId="0" xfId="0" applyNumberFormat="1" applyFill="1" applyBorder="1"/>
    <xf numFmtId="1" fontId="0" fillId="3" borderId="0" xfId="0" applyNumberFormat="1" applyFill="1" applyBorder="1"/>
    <xf numFmtId="165" fontId="73" fillId="3" borderId="0" xfId="0" applyNumberFormat="1" applyFont="1" applyFill="1" applyBorder="1" applyAlignment="1">
      <alignment horizontal="center" vertical="center"/>
    </xf>
    <xf numFmtId="9" fontId="0" fillId="3" borderId="5" xfId="4" applyFont="1" applyFill="1" applyBorder="1" applyAlignment="1">
      <alignment horizontal="left"/>
    </xf>
    <xf numFmtId="165" fontId="68" fillId="3" borderId="0" xfId="0" applyNumberFormat="1" applyFont="1" applyFill="1" applyBorder="1" applyAlignment="1" applyProtection="1">
      <alignment horizontal="center" vertical="center"/>
      <protection locked="0"/>
    </xf>
    <xf numFmtId="0" fontId="69" fillId="3" borderId="7" xfId="0" applyFont="1" applyFill="1" applyBorder="1" applyAlignment="1" applyProtection="1">
      <alignment horizontal="center" vertical="center"/>
      <protection locked="0"/>
    </xf>
    <xf numFmtId="0" fontId="155" fillId="0" borderId="0" xfId="0" applyFont="1"/>
    <xf numFmtId="9" fontId="155" fillId="0" borderId="0" xfId="4" applyFont="1"/>
    <xf numFmtId="165" fontId="174" fillId="0" borderId="0" xfId="0" applyNumberFormat="1" applyFont="1" applyFill="1" applyBorder="1" applyAlignment="1">
      <alignment horizontal="center" vertical="center"/>
    </xf>
    <xf numFmtId="9" fontId="155" fillId="0" borderId="0" xfId="4" applyFont="1" applyFill="1" applyBorder="1" applyAlignment="1">
      <alignment horizontal="left"/>
    </xf>
    <xf numFmtId="165" fontId="175" fillId="0" borderId="0" xfId="0" applyNumberFormat="1" applyFont="1" applyFill="1" applyBorder="1" applyAlignment="1" applyProtection="1">
      <alignment horizontal="center" vertical="center"/>
      <protection locked="0"/>
    </xf>
    <xf numFmtId="0" fontId="81" fillId="0" borderId="0" xfId="0" applyFont="1"/>
    <xf numFmtId="165" fontId="0" fillId="3" borderId="7" xfId="0" applyNumberFormat="1" applyFill="1" applyBorder="1"/>
    <xf numFmtId="1" fontId="0" fillId="3" borderId="7" xfId="0" applyNumberFormat="1" applyFill="1" applyBorder="1"/>
    <xf numFmtId="165" fontId="155" fillId="0" borderId="0" xfId="0" applyNumberFormat="1" applyFont="1"/>
    <xf numFmtId="9" fontId="173" fillId="3" borderId="0" xfId="0" applyNumberFormat="1" applyFont="1" applyFill="1" applyBorder="1" applyAlignment="1">
      <alignment horizontal="center"/>
    </xf>
    <xf numFmtId="0" fontId="173" fillId="3" borderId="0" xfId="0" applyFont="1" applyFill="1" applyBorder="1" applyAlignment="1">
      <alignment horizontal="center"/>
    </xf>
    <xf numFmtId="0" fontId="85" fillId="3" borderId="0" xfId="0" applyFont="1" applyFill="1" applyBorder="1" applyAlignment="1">
      <alignment vertical="center"/>
    </xf>
    <xf numFmtId="0" fontId="85" fillId="3" borderId="5" xfId="0" applyFont="1" applyFill="1" applyBorder="1" applyAlignment="1">
      <alignment vertical="center"/>
    </xf>
    <xf numFmtId="9" fontId="0" fillId="0" borderId="0" xfId="4" applyFont="1"/>
    <xf numFmtId="0" fontId="155" fillId="0" borderId="0" xfId="0" applyFont="1" applyAlignment="1">
      <alignment horizontal="right"/>
    </xf>
    <xf numFmtId="0" fontId="155" fillId="0" borderId="0" xfId="0" applyFont="1" applyFill="1" applyBorder="1" applyAlignment="1">
      <alignment horizontal="right"/>
    </xf>
    <xf numFmtId="9" fontId="155" fillId="0" borderId="0" xfId="4" applyFont="1" applyFill="1" applyBorder="1"/>
    <xf numFmtId="1" fontId="86" fillId="11" borderId="0" xfId="0" applyNumberFormat="1" applyFont="1" applyFill="1" applyBorder="1" applyAlignment="1" applyProtection="1">
      <alignment horizontal="right" vertical="center"/>
      <protection locked="0"/>
    </xf>
    <xf numFmtId="0" fontId="155" fillId="0" borderId="0" xfId="0" applyFont="1" applyFill="1"/>
    <xf numFmtId="0" fontId="155" fillId="0" borderId="0" xfId="0" applyFont="1" applyBorder="1"/>
    <xf numFmtId="0" fontId="155" fillId="0" borderId="0" xfId="0" applyFont="1" applyBorder="1" applyAlignment="1">
      <alignment horizontal="center"/>
    </xf>
    <xf numFmtId="49" fontId="155" fillId="0" borderId="0" xfId="0" applyNumberFormat="1" applyFont="1" applyBorder="1"/>
    <xf numFmtId="2" fontId="155" fillId="0" borderId="0" xfId="4" applyNumberFormat="1" applyFont="1" applyFill="1"/>
    <xf numFmtId="9" fontId="155" fillId="0" borderId="0" xfId="4" applyFont="1" applyFill="1"/>
    <xf numFmtId="1" fontId="155" fillId="0" borderId="0" xfId="0" applyNumberFormat="1" applyFont="1" applyFill="1"/>
    <xf numFmtId="2" fontId="155" fillId="0" borderId="0" xfId="0" applyNumberFormat="1" applyFont="1" applyFill="1"/>
    <xf numFmtId="0" fontId="176" fillId="3" borderId="0" xfId="0" applyFont="1" applyFill="1" applyBorder="1" applyAlignment="1"/>
    <xf numFmtId="0" fontId="54" fillId="3" borderId="4" xfId="0" applyFont="1" applyFill="1" applyBorder="1" applyAlignment="1">
      <alignment horizontal="center" vertical="top" wrapText="1"/>
    </xf>
    <xf numFmtId="0" fontId="54" fillId="3" borderId="2" xfId="0" applyFont="1" applyFill="1" applyBorder="1" applyAlignment="1">
      <alignment vertical="center" wrapText="1"/>
    </xf>
    <xf numFmtId="0" fontId="97" fillId="3" borderId="5" xfId="0" applyFont="1" applyFill="1" applyBorder="1" applyAlignment="1">
      <alignment vertical="top" wrapText="1"/>
    </xf>
    <xf numFmtId="0" fontId="76" fillId="3" borderId="0" xfId="0" applyFont="1" applyFill="1" applyBorder="1" applyAlignment="1">
      <alignment vertical="center"/>
    </xf>
    <xf numFmtId="0" fontId="69" fillId="3" borderId="4" xfId="0" applyFont="1" applyFill="1" applyBorder="1" applyAlignment="1">
      <alignment wrapText="1"/>
    </xf>
    <xf numFmtId="0" fontId="89" fillId="3" borderId="4" xfId="0" applyFont="1" applyFill="1" applyBorder="1" applyAlignment="1">
      <alignment horizontal="center" vertical="center"/>
    </xf>
    <xf numFmtId="0" fontId="85" fillId="0" borderId="0" xfId="0" applyFont="1" applyFill="1" applyBorder="1" applyAlignment="1">
      <alignment vertical="center" wrapText="1"/>
    </xf>
    <xf numFmtId="0" fontId="83" fillId="0" borderId="0" xfId="0" applyFont="1" applyFill="1" applyBorder="1" applyAlignment="1">
      <alignment horizontal="center" vertical="center"/>
    </xf>
    <xf numFmtId="2" fontId="53" fillId="0" borderId="0" xfId="0" applyNumberFormat="1" applyFont="1" applyFill="1" applyBorder="1" applyAlignment="1">
      <alignment horizontal="center" vertical="center"/>
    </xf>
    <xf numFmtId="0" fontId="89" fillId="0" borderId="0" xfId="0" applyFont="1" applyFill="1" applyBorder="1" applyAlignment="1">
      <alignment horizontal="center" vertical="center"/>
    </xf>
    <xf numFmtId="0" fontId="54" fillId="0" borderId="0" xfId="0" applyFont="1" applyFill="1" applyBorder="1"/>
    <xf numFmtId="0" fontId="83" fillId="0" borderId="0" xfId="0" applyFont="1" applyFill="1" applyBorder="1" applyAlignment="1">
      <alignment vertical="center"/>
    </xf>
    <xf numFmtId="2" fontId="53" fillId="0" borderId="0" xfId="0" applyNumberFormat="1" applyFont="1" applyFill="1" applyBorder="1" applyAlignment="1">
      <alignment vertical="center"/>
    </xf>
    <xf numFmtId="0" fontId="84" fillId="0" borderId="0" xfId="0" applyFont="1" applyFill="1" applyBorder="1" applyAlignment="1">
      <alignment vertical="center"/>
    </xf>
    <xf numFmtId="0" fontId="57" fillId="3" borderId="0" xfId="0" applyFont="1" applyFill="1" applyBorder="1" applyAlignment="1">
      <alignment vertical="center"/>
    </xf>
    <xf numFmtId="0" fontId="135" fillId="0" borderId="0" xfId="0" applyFont="1" applyFill="1" applyBorder="1" applyAlignment="1">
      <alignment horizontal="center" vertical="top" wrapText="1"/>
    </xf>
    <xf numFmtId="0" fontId="85" fillId="3" borderId="4" xfId="0" applyFont="1" applyFill="1" applyBorder="1" applyAlignment="1">
      <alignment horizontal="center" vertical="center"/>
    </xf>
    <xf numFmtId="0" fontId="0" fillId="0" borderId="0" xfId="0"/>
    <xf numFmtId="0" fontId="77" fillId="3" borderId="57" xfId="0" applyNumberFormat="1" applyFont="1" applyFill="1" applyBorder="1" applyAlignment="1">
      <alignment horizontal="center"/>
    </xf>
    <xf numFmtId="165" fontId="86" fillId="3" borderId="4" xfId="0" applyNumberFormat="1" applyFont="1" applyFill="1" applyBorder="1" applyAlignment="1">
      <alignment horizontal="center" vertical="center" wrapText="1"/>
    </xf>
    <xf numFmtId="0" fontId="53" fillId="3" borderId="5" xfId="0" applyFont="1" applyFill="1" applyBorder="1"/>
    <xf numFmtId="0" fontId="53" fillId="3" borderId="0" xfId="0" applyFont="1" applyFill="1" applyBorder="1" applyAlignment="1">
      <alignment horizontal="right"/>
    </xf>
    <xf numFmtId="1" fontId="59" fillId="3" borderId="4" xfId="0" applyNumberFormat="1" applyFont="1" applyFill="1" applyBorder="1" applyAlignment="1">
      <alignment horizontal="center"/>
    </xf>
    <xf numFmtId="0" fontId="59" fillId="3" borderId="4" xfId="0" applyFont="1" applyFill="1" applyBorder="1" applyAlignment="1">
      <alignment horizontal="center"/>
    </xf>
    <xf numFmtId="167" fontId="0" fillId="3" borderId="0" xfId="0" applyNumberFormat="1" applyFill="1" applyBorder="1" applyAlignment="1">
      <alignment horizontal="center" vertical="center"/>
    </xf>
    <xf numFmtId="0" fontId="54" fillId="3" borderId="4" xfId="0" applyFont="1" applyFill="1" applyBorder="1" applyAlignment="1">
      <alignment horizontal="center" vertical="center"/>
    </xf>
    <xf numFmtId="0" fontId="53" fillId="3" borderId="2" xfId="0" applyFont="1" applyFill="1" applyBorder="1"/>
    <xf numFmtId="0" fontId="53" fillId="3" borderId="4" xfId="0" applyFont="1" applyFill="1" applyBorder="1" applyAlignment="1">
      <alignment horizontal="center" vertical="center" wrapText="1"/>
    </xf>
    <xf numFmtId="0" fontId="57" fillId="3" borderId="4" xfId="0" applyFont="1" applyFill="1" applyBorder="1" applyAlignment="1">
      <alignment horizontal="center" vertical="center" wrapText="1"/>
    </xf>
    <xf numFmtId="0" fontId="57" fillId="3" borderId="0" xfId="0" applyFont="1" applyFill="1" applyBorder="1" applyAlignment="1">
      <alignment horizontal="center" vertical="center" wrapText="1"/>
    </xf>
    <xf numFmtId="0" fontId="68" fillId="3" borderId="0" xfId="0" applyFont="1" applyFill="1" applyAlignment="1">
      <alignment wrapText="1"/>
    </xf>
    <xf numFmtId="0" fontId="87" fillId="3" borderId="7" xfId="0" applyFont="1" applyFill="1" applyBorder="1" applyAlignment="1">
      <alignment vertical="center" wrapText="1"/>
    </xf>
    <xf numFmtId="0" fontId="176" fillId="3" borderId="4" xfId="0" applyFont="1" applyFill="1" applyBorder="1" applyAlignment="1">
      <alignment horizontal="center" vertical="center"/>
    </xf>
    <xf numFmtId="165" fontId="53" fillId="3" borderId="0" xfId="0" applyNumberFormat="1" applyFont="1" applyFill="1" applyBorder="1" applyAlignment="1">
      <alignment vertical="center"/>
    </xf>
    <xf numFmtId="0" fontId="59" fillId="3" borderId="5" xfId="0" applyFont="1" applyFill="1" applyBorder="1" applyAlignment="1">
      <alignment vertical="center"/>
    </xf>
    <xf numFmtId="0" fontId="176" fillId="3" borderId="4" xfId="0" applyFont="1" applyFill="1" applyBorder="1" applyAlignment="1">
      <alignment vertical="center"/>
    </xf>
    <xf numFmtId="0" fontId="74" fillId="3" borderId="4" xfId="0" applyFont="1" applyFill="1" applyBorder="1" applyAlignment="1">
      <alignment vertical="center"/>
    </xf>
    <xf numFmtId="0" fontId="59" fillId="3" borderId="5" xfId="0" applyFont="1" applyFill="1" applyBorder="1" applyAlignment="1">
      <alignment horizontal="left" vertical="center"/>
    </xf>
    <xf numFmtId="0" fontId="59" fillId="3" borderId="0" xfId="0" applyFont="1" applyFill="1" applyBorder="1" applyAlignment="1">
      <alignment horizontal="center" vertical="center"/>
    </xf>
    <xf numFmtId="0" fontId="69" fillId="3" borderId="0" xfId="0" applyFont="1" applyFill="1" applyBorder="1" applyAlignment="1">
      <alignment vertical="center"/>
    </xf>
    <xf numFmtId="2" fontId="85" fillId="3" borderId="0" xfId="0" applyNumberFormat="1" applyFont="1" applyFill="1" applyBorder="1" applyAlignment="1">
      <alignment horizontal="right" vertical="center"/>
    </xf>
    <xf numFmtId="0" fontId="74" fillId="3" borderId="5" xfId="0" applyFont="1" applyFill="1" applyBorder="1" applyAlignment="1">
      <alignment vertical="center"/>
    </xf>
    <xf numFmtId="0" fontId="59" fillId="3" borderId="5" xfId="0" applyFont="1" applyFill="1" applyBorder="1"/>
    <xf numFmtId="2" fontId="53" fillId="3" borderId="0" xfId="0" applyNumberFormat="1" applyFont="1" applyFill="1" applyBorder="1" applyAlignment="1">
      <alignment horizontal="right" vertical="center"/>
    </xf>
    <xf numFmtId="0" fontId="54" fillId="3" borderId="4" xfId="0" applyFont="1" applyFill="1" applyBorder="1"/>
    <xf numFmtId="0" fontId="0" fillId="3" borderId="0" xfId="0" applyFill="1" applyBorder="1" applyAlignment="1">
      <alignment horizontal="center"/>
    </xf>
    <xf numFmtId="0" fontId="53" fillId="3" borderId="0" xfId="0" applyFont="1" applyFill="1" applyBorder="1" applyAlignment="1">
      <alignment horizontal="right" vertical="center"/>
    </xf>
    <xf numFmtId="1" fontId="53" fillId="3" borderId="0" xfId="0" applyNumberFormat="1" applyFont="1" applyFill="1" applyBorder="1" applyAlignment="1">
      <alignment horizontal="center" vertical="center"/>
    </xf>
    <xf numFmtId="0" fontId="54" fillId="3" borderId="4" xfId="0" applyFont="1" applyFill="1" applyBorder="1" applyAlignment="1">
      <alignment vertical="center"/>
    </xf>
    <xf numFmtId="0" fontId="85" fillId="3" borderId="0" xfId="0" applyFont="1" applyFill="1" applyBorder="1" applyAlignment="1">
      <alignment horizontal="right" vertical="center"/>
    </xf>
    <xf numFmtId="0" fontId="87" fillId="3" borderId="5" xfId="0" applyFont="1" applyFill="1" applyBorder="1" applyAlignment="1">
      <alignment vertical="center"/>
    </xf>
    <xf numFmtId="0" fontId="54" fillId="3" borderId="6" xfId="0" applyFont="1" applyFill="1" applyBorder="1" applyAlignment="1">
      <alignment vertical="top"/>
    </xf>
    <xf numFmtId="0" fontId="59" fillId="3" borderId="7" xfId="0" applyFont="1" applyFill="1" applyBorder="1" applyAlignment="1">
      <alignment horizontal="center" vertical="center"/>
    </xf>
    <xf numFmtId="0" fontId="74" fillId="3" borderId="7" xfId="0" applyFont="1" applyFill="1" applyBorder="1" applyAlignment="1">
      <alignment horizontal="center" vertical="center"/>
    </xf>
    <xf numFmtId="0" fontId="59" fillId="3" borderId="8" xfId="0" applyFont="1" applyFill="1" applyBorder="1"/>
    <xf numFmtId="1" fontId="85" fillId="3" borderId="7" xfId="0" applyNumberFormat="1" applyFont="1" applyFill="1" applyBorder="1" applyAlignment="1">
      <alignment horizontal="right"/>
    </xf>
    <xf numFmtId="0" fontId="74" fillId="3" borderId="8" xfId="0" applyFont="1" applyFill="1" applyBorder="1" applyAlignment="1">
      <alignment vertical="center"/>
    </xf>
    <xf numFmtId="0" fontId="176" fillId="3" borderId="0" xfId="0" applyFont="1" applyFill="1" applyBorder="1" applyAlignment="1">
      <alignment horizontal="right" vertical="center"/>
    </xf>
    <xf numFmtId="165" fontId="53" fillId="3" borderId="0" xfId="0" applyNumberFormat="1" applyFont="1" applyFill="1" applyBorder="1" applyAlignment="1">
      <alignment horizontal="right"/>
    </xf>
    <xf numFmtId="0" fontId="53" fillId="3" borderId="4" xfId="0" applyFont="1" applyFill="1" applyBorder="1" applyAlignment="1">
      <alignment horizontal="right" vertical="top"/>
    </xf>
    <xf numFmtId="0" fontId="53" fillId="3" borderId="4" xfId="0" applyFont="1" applyFill="1" applyBorder="1" applyAlignment="1">
      <alignment horizontal="right"/>
    </xf>
    <xf numFmtId="0" fontId="74" fillId="3" borderId="5" xfId="0" applyFont="1" applyFill="1" applyBorder="1"/>
    <xf numFmtId="0" fontId="86" fillId="3" borderId="4" xfId="0" applyFont="1" applyFill="1" applyBorder="1" applyAlignment="1">
      <alignment horizontal="right"/>
    </xf>
    <xf numFmtId="0" fontId="176" fillId="4" borderId="4" xfId="0" applyFont="1" applyFill="1" applyBorder="1" applyAlignment="1">
      <alignment horizontal="center" vertical="center"/>
    </xf>
    <xf numFmtId="2" fontId="176" fillId="4" borderId="0" xfId="0" applyNumberFormat="1" applyFont="1" applyFill="1" applyBorder="1" applyAlignment="1">
      <alignment horizontal="right" vertical="center"/>
    </xf>
    <xf numFmtId="0" fontId="181" fillId="4" borderId="5" xfId="0" applyFont="1" applyFill="1" applyBorder="1" applyAlignment="1">
      <alignment vertical="center"/>
    </xf>
    <xf numFmtId="1" fontId="176" fillId="4" borderId="0" xfId="0" applyNumberFormat="1" applyFont="1" applyFill="1" applyBorder="1" applyAlignment="1">
      <alignment horizontal="center" vertical="center"/>
    </xf>
    <xf numFmtId="0" fontId="91" fillId="4" borderId="5" xfId="0" applyFont="1" applyFill="1" applyBorder="1" applyAlignment="1">
      <alignment vertical="center"/>
    </xf>
    <xf numFmtId="0" fontId="109" fillId="4" borderId="4" xfId="0" applyFont="1" applyFill="1" applyBorder="1" applyAlignment="1">
      <alignment horizontal="right"/>
    </xf>
    <xf numFmtId="0" fontId="0" fillId="0" borderId="0" xfId="0" applyProtection="1"/>
    <xf numFmtId="165" fontId="0" fillId="0" borderId="0" xfId="0" applyNumberFormat="1" applyProtection="1"/>
    <xf numFmtId="1" fontId="0" fillId="0" borderId="0" xfId="0" applyNumberFormat="1" applyProtection="1"/>
    <xf numFmtId="0" fontId="83" fillId="0" borderId="0" xfId="0" applyFont="1" applyFill="1" applyBorder="1" applyAlignment="1" applyProtection="1">
      <alignment horizontal="center" vertical="center"/>
      <protection locked="0"/>
    </xf>
    <xf numFmtId="0" fontId="81" fillId="3" borderId="0" xfId="0" applyFont="1" applyFill="1"/>
    <xf numFmtId="0" fontId="81" fillId="3" borderId="6" xfId="0" applyFont="1" applyFill="1" applyBorder="1"/>
    <xf numFmtId="0" fontId="81" fillId="3" borderId="7" xfId="0" applyFont="1" applyFill="1" applyBorder="1"/>
    <xf numFmtId="0" fontId="81" fillId="3" borderId="8" xfId="0" applyFont="1" applyFill="1" applyBorder="1"/>
    <xf numFmtId="0" fontId="57" fillId="3" borderId="0" xfId="0" applyFont="1" applyFill="1" applyBorder="1" applyAlignment="1">
      <alignment horizontal="center" vertical="top" wrapText="1"/>
    </xf>
    <xf numFmtId="0" fontId="82" fillId="3" borderId="4" xfId="0" applyFont="1" applyFill="1" applyBorder="1" applyAlignment="1">
      <alignment horizontal="center" vertical="center" wrapText="1"/>
    </xf>
    <xf numFmtId="0" fontId="81" fillId="3" borderId="5" xfId="0" applyFont="1" applyFill="1" applyBorder="1"/>
    <xf numFmtId="0" fontId="0" fillId="3" borderId="57" xfId="0" applyFill="1" applyBorder="1"/>
    <xf numFmtId="0" fontId="81" fillId="3" borderId="57" xfId="0" applyFont="1" applyFill="1" applyBorder="1"/>
    <xf numFmtId="0" fontId="81" fillId="3" borderId="24" xfId="0" applyFont="1" applyFill="1" applyBorder="1"/>
    <xf numFmtId="0" fontId="155" fillId="0" borderId="0" xfId="0" applyFont="1" applyAlignment="1">
      <alignment horizontal="center"/>
    </xf>
    <xf numFmtId="0" fontId="112" fillId="3" borderId="0" xfId="0" applyFont="1" applyFill="1" applyBorder="1" applyAlignment="1">
      <alignment vertical="center" wrapText="1"/>
    </xf>
    <xf numFmtId="2" fontId="112" fillId="3" borderId="0" xfId="0" applyNumberFormat="1" applyFont="1" applyFill="1" applyBorder="1" applyAlignment="1">
      <alignment horizontal="center" vertical="center"/>
    </xf>
    <xf numFmtId="1" fontId="11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/>
    <xf numFmtId="9" fontId="81" fillId="0" borderId="0" xfId="4" applyFont="1" applyFill="1" applyBorder="1" applyAlignment="1">
      <alignment horizontal="left"/>
    </xf>
    <xf numFmtId="1" fontId="81" fillId="0" borderId="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59" fillId="3" borderId="0" xfId="0" applyFont="1" applyFill="1" applyAlignment="1">
      <alignment horizontal="left"/>
    </xf>
    <xf numFmtId="2" fontId="155" fillId="0" borderId="0" xfId="0" applyNumberFormat="1" applyFont="1"/>
    <xf numFmtId="9" fontId="155" fillId="0" borderId="0" xfId="0" applyNumberFormat="1" applyFont="1"/>
    <xf numFmtId="1" fontId="81" fillId="0" borderId="0" xfId="0" applyNumberFormat="1" applyFont="1" applyFill="1" applyBorder="1"/>
    <xf numFmtId="2" fontId="81" fillId="0" borderId="0" xfId="0" applyNumberFormat="1" applyFont="1" applyFill="1" applyBorder="1"/>
    <xf numFmtId="9" fontId="81" fillId="0" borderId="0" xfId="4" applyFont="1" applyFill="1" applyBorder="1"/>
    <xf numFmtId="0" fontId="0" fillId="8" borderId="0" xfId="0" applyFill="1"/>
    <xf numFmtId="0" fontId="85" fillId="3" borderId="0" xfId="0" applyFont="1" applyFill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73" fillId="3" borderId="0" xfId="0" applyFont="1" applyFill="1" applyAlignment="1">
      <alignment horizontal="center" vertical="center" wrapText="1"/>
    </xf>
    <xf numFmtId="0" fontId="57" fillId="3" borderId="0" xfId="0" applyFont="1" applyFill="1" applyAlignment="1">
      <alignment horizontal="center" wrapText="1"/>
    </xf>
    <xf numFmtId="0" fontId="57" fillId="3" borderId="0" xfId="0" applyFont="1" applyFill="1" applyAlignment="1">
      <alignment horizontal="center" vertical="top" wrapText="1"/>
    </xf>
    <xf numFmtId="0" fontId="85" fillId="3" borderId="5" xfId="0" applyFont="1" applyFill="1" applyBorder="1" applyAlignment="1"/>
    <xf numFmtId="0" fontId="85" fillId="3" borderId="0" xfId="0" applyFont="1" applyFill="1" applyBorder="1" applyAlignment="1">
      <alignment horizontal="left"/>
    </xf>
    <xf numFmtId="0" fontId="186" fillId="3" borderId="4" xfId="0" applyFont="1" applyFill="1" applyBorder="1" applyAlignment="1" applyProtection="1">
      <alignment horizontal="center" vertical="top"/>
      <protection hidden="1"/>
    </xf>
    <xf numFmtId="0" fontId="0" fillId="3" borderId="0" xfId="0" applyFill="1" applyAlignment="1">
      <alignment horizontal="left"/>
    </xf>
    <xf numFmtId="2" fontId="76" fillId="3" borderId="0" xfId="0" applyNumberFormat="1" applyFont="1" applyFill="1" applyBorder="1" applyAlignment="1">
      <alignment horizontal="center" vertical="top"/>
    </xf>
    <xf numFmtId="2" fontId="76" fillId="3" borderId="5" xfId="0" applyNumberFormat="1" applyFont="1" applyFill="1" applyBorder="1" applyAlignment="1">
      <alignment horizontal="center" vertical="top"/>
    </xf>
    <xf numFmtId="2" fontId="76" fillId="3" borderId="7" xfId="0" applyNumberFormat="1" applyFont="1" applyFill="1" applyBorder="1" applyAlignment="1">
      <alignment horizontal="center" vertical="top"/>
    </xf>
    <xf numFmtId="2" fontId="76" fillId="3" borderId="8" xfId="0" applyNumberFormat="1" applyFont="1" applyFill="1" applyBorder="1" applyAlignment="1">
      <alignment horizontal="center" vertical="top"/>
    </xf>
    <xf numFmtId="1" fontId="155" fillId="0" borderId="0" xfId="0" applyNumberFormat="1" applyFont="1"/>
    <xf numFmtId="0" fontId="86" fillId="3" borderId="0" xfId="0" applyFont="1" applyFill="1" applyBorder="1" applyAlignment="1">
      <alignment horizontal="left" vertical="center"/>
    </xf>
    <xf numFmtId="2" fontId="0" fillId="3" borderId="0" xfId="0" applyNumberFormat="1" applyFill="1"/>
    <xf numFmtId="9" fontId="186" fillId="3" borderId="0" xfId="4" applyFont="1" applyFill="1" applyBorder="1" applyAlignment="1" applyProtection="1">
      <protection hidden="1"/>
    </xf>
    <xf numFmtId="9" fontId="186" fillId="3" borderId="5" xfId="4" applyFont="1" applyFill="1" applyBorder="1" applyAlignment="1" applyProtection="1">
      <protection hidden="1"/>
    </xf>
    <xf numFmtId="0" fontId="0" fillId="3" borderId="4" xfId="0" applyFill="1" applyBorder="1" applyAlignment="1">
      <alignment vertical="top"/>
    </xf>
    <xf numFmtId="9" fontId="186" fillId="3" borderId="0" xfId="4" applyFont="1" applyFill="1" applyBorder="1" applyAlignment="1" applyProtection="1">
      <alignment vertical="top"/>
      <protection hidden="1"/>
    </xf>
    <xf numFmtId="9" fontId="186" fillId="3" borderId="0" xfId="4" applyFont="1" applyFill="1" applyBorder="1" applyAlignment="1" applyProtection="1">
      <alignment horizontal="center" vertical="top"/>
      <protection hidden="1"/>
    </xf>
    <xf numFmtId="0" fontId="0" fillId="3" borderId="0" xfId="0" applyFill="1" applyBorder="1" applyAlignment="1">
      <alignment vertical="top"/>
    </xf>
    <xf numFmtId="9" fontId="186" fillId="3" borderId="5" xfId="4" applyFont="1" applyFill="1" applyBorder="1" applyAlignment="1" applyProtection="1">
      <alignment horizontal="center" vertical="top"/>
      <protection hidden="1"/>
    </xf>
    <xf numFmtId="165" fontId="59" fillId="8" borderId="0" xfId="0" applyNumberFormat="1" applyFont="1" applyFill="1" applyAlignment="1" applyProtection="1">
      <alignment horizontal="center" vertical="center"/>
      <protection locked="0"/>
    </xf>
    <xf numFmtId="171" fontId="128" fillId="4" borderId="22" xfId="2" applyNumberFormat="1" applyFont="1" applyFill="1" applyBorder="1" applyAlignment="1">
      <alignment horizontal="center" vertical="center"/>
    </xf>
    <xf numFmtId="171" fontId="21" fillId="7" borderId="22" xfId="2" applyNumberFormat="1" applyFont="1" applyFill="1" applyBorder="1" applyAlignment="1" applyProtection="1">
      <alignment horizontal="center" vertical="center"/>
    </xf>
    <xf numFmtId="165" fontId="81" fillId="0" borderId="1" xfId="0" applyNumberFormat="1" applyFont="1" applyBorder="1"/>
    <xf numFmtId="0" fontId="0" fillId="0" borderId="0" xfId="0"/>
    <xf numFmtId="0" fontId="0" fillId="0" borderId="0" xfId="0"/>
    <xf numFmtId="172" fontId="0" fillId="0" borderId="0" xfId="0" applyNumberFormat="1"/>
    <xf numFmtId="0" fontId="0" fillId="3" borderId="2" xfId="0" applyFill="1" applyBorder="1" applyAlignment="1">
      <alignment vertical="center"/>
    </xf>
    <xf numFmtId="0" fontId="0" fillId="3" borderId="49" xfId="0" applyFill="1" applyBorder="1" applyAlignment="1">
      <alignment vertical="center"/>
    </xf>
    <xf numFmtId="9" fontId="75" fillId="3" borderId="2" xfId="0" applyNumberFormat="1" applyFont="1" applyFill="1" applyBorder="1" applyAlignment="1">
      <alignment vertical="center"/>
    </xf>
    <xf numFmtId="0" fontId="75" fillId="3" borderId="2" xfId="0" applyFont="1" applyFill="1" applyBorder="1" applyAlignment="1">
      <alignment vertical="center"/>
    </xf>
    <xf numFmtId="0" fontId="0" fillId="0" borderId="0" xfId="0"/>
    <xf numFmtId="0" fontId="75" fillId="3" borderId="0" xfId="0" applyFont="1" applyFill="1" applyAlignment="1">
      <alignment horizontal="center" vertical="center"/>
    </xf>
    <xf numFmtId="9" fontId="75" fillId="3" borderId="49" xfId="0" applyNumberFormat="1" applyFont="1" applyFill="1" applyBorder="1" applyAlignment="1">
      <alignment vertical="center"/>
    </xf>
    <xf numFmtId="0" fontId="75" fillId="3" borderId="49" xfId="0" applyFont="1" applyFill="1" applyBorder="1" applyAlignment="1">
      <alignment vertical="center"/>
    </xf>
    <xf numFmtId="165" fontId="0" fillId="0" borderId="0" xfId="4" applyNumberFormat="1" applyFont="1"/>
    <xf numFmtId="0" fontId="190" fillId="3" borderId="0" xfId="0" applyFont="1" applyFill="1" applyBorder="1" applyAlignment="1">
      <alignment vertical="center"/>
    </xf>
    <xf numFmtId="0" fontId="0" fillId="0" borderId="0" xfId="0"/>
    <xf numFmtId="0" fontId="6" fillId="4" borderId="11" xfId="0" applyFont="1" applyFill="1" applyBorder="1" applyAlignment="1">
      <alignment horizontal="center" vertical="center"/>
    </xf>
    <xf numFmtId="165" fontId="15" fillId="2" borderId="11" xfId="0" applyNumberFormat="1" applyFont="1" applyFill="1" applyBorder="1" applyAlignment="1">
      <alignment vertical="center"/>
    </xf>
    <xf numFmtId="165" fontId="6" fillId="4" borderId="11" xfId="0" applyNumberFormat="1" applyFont="1" applyFill="1" applyBorder="1" applyAlignment="1">
      <alignment horizontal="center" vertical="center"/>
    </xf>
    <xf numFmtId="165" fontId="6" fillId="4" borderId="60" xfId="0" applyNumberFormat="1" applyFont="1" applyFill="1" applyBorder="1" applyAlignment="1">
      <alignment horizontal="center" vertical="center"/>
    </xf>
    <xf numFmtId="0" fontId="0" fillId="0" borderId="0" xfId="0" applyFont="1"/>
    <xf numFmtId="0" fontId="81" fillId="0" borderId="57" xfId="0" applyFont="1" applyFill="1" applyBorder="1"/>
    <xf numFmtId="0" fontId="0" fillId="0" borderId="57" xfId="0" applyFill="1" applyBorder="1" applyAlignment="1">
      <alignment horizontal="center" vertical="center"/>
    </xf>
    <xf numFmtId="0" fontId="0" fillId="0" borderId="57" xfId="0" applyFill="1" applyBorder="1"/>
    <xf numFmtId="0" fontId="81" fillId="0" borderId="0" xfId="0" applyFont="1" applyFill="1" applyBorder="1" applyAlignment="1">
      <alignment horizontal="center"/>
    </xf>
    <xf numFmtId="165" fontId="81" fillId="0" borderId="0" xfId="0" applyNumberFormat="1" applyFont="1" applyFill="1" applyBorder="1"/>
    <xf numFmtId="165" fontId="82" fillId="0" borderId="0" xfId="0" applyNumberFormat="1" applyFont="1" applyFill="1" applyBorder="1"/>
    <xf numFmtId="0" fontId="18" fillId="0" borderId="11" xfId="0" applyFont="1" applyFill="1" applyBorder="1" applyAlignment="1">
      <alignment horizontal="center" vertical="center"/>
    </xf>
    <xf numFmtId="2" fontId="110" fillId="0" borderId="11" xfId="0" applyNumberFormat="1" applyFont="1" applyFill="1" applyBorder="1" applyAlignment="1">
      <alignment vertical="center"/>
    </xf>
    <xf numFmtId="165" fontId="18" fillId="0" borderId="11" xfId="0" applyNumberFormat="1" applyFont="1" applyFill="1" applyBorder="1" applyAlignment="1">
      <alignment horizontal="center" vertical="center"/>
    </xf>
    <xf numFmtId="165" fontId="18" fillId="0" borderId="60" xfId="0" applyNumberFormat="1" applyFont="1" applyFill="1" applyBorder="1" applyAlignment="1">
      <alignment horizontal="center" vertical="center"/>
    </xf>
    <xf numFmtId="0" fontId="59" fillId="3" borderId="10" xfId="0" applyFont="1" applyFill="1" applyBorder="1" applyAlignment="1">
      <alignment horizontal="center" vertical="center" wrapText="1"/>
    </xf>
    <xf numFmtId="2" fontId="7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93" fillId="0" borderId="0" xfId="0" applyFont="1" applyFill="1" applyBorder="1" applyAlignment="1" applyProtection="1">
      <alignment horizontal="center" vertical="center"/>
      <protection locked="0"/>
    </xf>
    <xf numFmtId="0" fontId="193" fillId="0" borderId="0" xfId="0" applyFont="1" applyFill="1" applyBorder="1" applyAlignment="1">
      <alignment horizontal="center" vertical="center"/>
    </xf>
    <xf numFmtId="0" fontId="193" fillId="0" borderId="0" xfId="0" applyFont="1" applyFill="1" applyBorder="1" applyAlignment="1">
      <alignment horizontal="right" vertical="center"/>
    </xf>
    <xf numFmtId="0" fontId="155" fillId="0" borderId="0" xfId="0" applyFont="1" applyFill="1" applyBorder="1" applyAlignment="1" applyProtection="1">
      <alignment horizontal="left"/>
      <protection locked="0"/>
    </xf>
    <xf numFmtId="2" fontId="155" fillId="0" borderId="0" xfId="0" applyNumberFormat="1" applyFont="1" applyFill="1" applyBorder="1" applyAlignment="1" applyProtection="1">
      <protection locked="0"/>
    </xf>
    <xf numFmtId="1" fontId="155" fillId="0" borderId="0" xfId="0" applyNumberFormat="1" applyFont="1" applyFill="1" applyBorder="1" applyAlignment="1" applyProtection="1">
      <alignment horizontal="center" vertical="center"/>
      <protection locked="0"/>
    </xf>
    <xf numFmtId="2" fontId="155" fillId="0" borderId="0" xfId="0" applyNumberFormat="1" applyFont="1" applyFill="1" applyBorder="1" applyAlignment="1" applyProtection="1">
      <alignment horizontal="center" vertical="center"/>
      <protection locked="0"/>
    </xf>
    <xf numFmtId="0" fontId="155" fillId="0" borderId="0" xfId="0" applyFont="1" applyFill="1" applyBorder="1" applyAlignment="1" applyProtection="1">
      <alignment horizontal="center" vertical="center"/>
      <protection locked="0"/>
    </xf>
    <xf numFmtId="165" fontId="155" fillId="0" borderId="0" xfId="0" applyNumberFormat="1" applyFont="1" applyFill="1" applyBorder="1" applyAlignment="1" applyProtection="1">
      <alignment horizontal="center" vertical="center"/>
      <protection locked="0"/>
    </xf>
    <xf numFmtId="0" fontId="155" fillId="0" borderId="0" xfId="0" applyNumberFormat="1" applyFont="1" applyFill="1" applyBorder="1" applyAlignment="1" applyProtection="1">
      <protection locked="0"/>
    </xf>
    <xf numFmtId="2" fontId="155" fillId="0" borderId="0" xfId="0" applyNumberFormat="1" applyFont="1" applyFill="1" applyBorder="1" applyAlignment="1" applyProtection="1">
      <alignment horizontal="center"/>
      <protection locked="0"/>
    </xf>
    <xf numFmtId="1" fontId="155" fillId="0" borderId="0" xfId="0" applyNumberFormat="1" applyFont="1" applyFill="1" applyBorder="1" applyAlignment="1" applyProtection="1">
      <alignment horizontal="center"/>
      <protection locked="0"/>
    </xf>
    <xf numFmtId="165" fontId="155" fillId="0" borderId="0" xfId="0" applyNumberFormat="1" applyFont="1" applyFill="1" applyBorder="1" applyAlignment="1" applyProtection="1">
      <alignment horizontal="center"/>
      <protection locked="0"/>
    </xf>
    <xf numFmtId="0" fontId="155" fillId="0" borderId="0" xfId="0" applyFont="1" applyFill="1" applyBorder="1" applyAlignment="1" applyProtection="1">
      <alignment horizontal="left" vertical="center"/>
      <protection locked="0"/>
    </xf>
    <xf numFmtId="0" fontId="155" fillId="0" borderId="0" xfId="0" applyFont="1" applyFill="1" applyBorder="1" applyProtection="1">
      <protection locked="0"/>
    </xf>
    <xf numFmtId="2" fontId="155" fillId="0" borderId="0" xfId="0" applyNumberFormat="1" applyFont="1" applyFill="1" applyBorder="1" applyProtection="1">
      <protection locked="0"/>
    </xf>
    <xf numFmtId="165" fontId="155" fillId="0" borderId="0" xfId="0" applyNumberFormat="1" applyFont="1" applyFill="1" applyBorder="1" applyProtection="1">
      <protection locked="0"/>
    </xf>
    <xf numFmtId="1" fontId="155" fillId="0" borderId="0" xfId="0" applyNumberFormat="1" applyFont="1" applyFill="1" applyBorder="1" applyAlignment="1" applyProtection="1">
      <protection locked="0"/>
    </xf>
    <xf numFmtId="165" fontId="155" fillId="0" borderId="0" xfId="0" applyNumberFormat="1" applyFont="1" applyFill="1" applyBorder="1" applyAlignment="1" applyProtection="1">
      <protection locked="0"/>
    </xf>
    <xf numFmtId="0" fontId="155" fillId="0" borderId="0" xfId="0" applyFont="1" applyFill="1" applyBorder="1" applyAlignment="1" applyProtection="1">
      <protection locked="0"/>
    </xf>
    <xf numFmtId="0" fontId="155" fillId="0" borderId="0" xfId="0" applyFont="1" applyBorder="1" applyProtection="1">
      <protection locked="0"/>
    </xf>
    <xf numFmtId="0" fontId="155" fillId="0" borderId="0" xfId="0" applyFont="1" applyBorder="1" applyAlignment="1" applyProtection="1">
      <alignment horizontal="center" vertical="center"/>
      <protection locked="0"/>
    </xf>
    <xf numFmtId="1" fontId="155" fillId="0" borderId="0" xfId="0" applyNumberFormat="1" applyFont="1" applyBorder="1" applyAlignment="1" applyProtection="1">
      <alignment horizontal="center" vertical="center"/>
      <protection locked="0"/>
    </xf>
    <xf numFmtId="0" fontId="155" fillId="0" borderId="0" xfId="0" applyFont="1" applyBorder="1" applyAlignment="1" applyProtection="1">
      <alignment vertical="center"/>
      <protection locked="0"/>
    </xf>
    <xf numFmtId="0" fontId="155" fillId="0" borderId="0" xfId="0" applyNumberFormat="1" applyFont="1" applyBorder="1" applyAlignment="1" applyProtection="1">
      <protection locked="0"/>
    </xf>
    <xf numFmtId="0" fontId="155" fillId="0" borderId="0" xfId="0" applyFont="1" applyBorder="1" applyAlignment="1" applyProtection="1">
      <protection locked="0"/>
    </xf>
    <xf numFmtId="2" fontId="155" fillId="0" borderId="0" xfId="0" applyNumberFormat="1" applyFont="1" applyBorder="1" applyAlignment="1" applyProtection="1">
      <protection locked="0"/>
    </xf>
    <xf numFmtId="1" fontId="155" fillId="0" borderId="0" xfId="0" applyNumberFormat="1" applyFont="1" applyBorder="1" applyAlignment="1" applyProtection="1">
      <protection locked="0"/>
    </xf>
    <xf numFmtId="165" fontId="155" fillId="0" borderId="0" xfId="0" applyNumberFormat="1" applyFont="1" applyBorder="1" applyAlignment="1" applyProtection="1">
      <protection locked="0"/>
    </xf>
    <xf numFmtId="165" fontId="155" fillId="0" borderId="0" xfId="0" applyNumberFormat="1" applyFont="1" applyBorder="1" applyProtection="1">
      <protection locked="0"/>
    </xf>
    <xf numFmtId="0" fontId="155" fillId="0" borderId="0" xfId="0" applyFont="1" applyBorder="1" applyAlignment="1">
      <alignment horizontal="center" vertical="center"/>
    </xf>
    <xf numFmtId="1" fontId="57" fillId="3" borderId="7" xfId="0" applyNumberFormat="1" applyFont="1" applyFill="1" applyBorder="1"/>
    <xf numFmtId="0" fontId="57" fillId="3" borderId="7" xfId="0" applyFont="1" applyFill="1" applyBorder="1"/>
    <xf numFmtId="0" fontId="54" fillId="3" borderId="7" xfId="0" applyFont="1" applyFill="1" applyBorder="1" applyAlignment="1">
      <alignment horizontal="center"/>
    </xf>
    <xf numFmtId="0" fontId="194" fillId="0" borderId="1" xfId="0" applyFont="1" applyFill="1" applyBorder="1"/>
    <xf numFmtId="0" fontId="194" fillId="0" borderId="1" xfId="0" applyFont="1" applyBorder="1"/>
    <xf numFmtId="2" fontId="194" fillId="0" borderId="1" xfId="0" applyNumberFormat="1" applyFont="1" applyBorder="1"/>
    <xf numFmtId="1" fontId="194" fillId="0" borderId="1" xfId="0" applyNumberFormat="1" applyFont="1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58" fillId="3" borderId="0" xfId="0" applyFont="1" applyFill="1" applyBorder="1" applyAlignment="1">
      <alignment horizontal="center"/>
    </xf>
    <xf numFmtId="0" fontId="74" fillId="3" borderId="0" xfId="0" applyFont="1" applyFill="1" applyBorder="1" applyAlignment="1">
      <alignment horizontal="right"/>
    </xf>
    <xf numFmtId="0" fontId="162" fillId="3" borderId="11" xfId="0" applyFont="1" applyFill="1" applyBorder="1" applyAlignment="1" applyProtection="1">
      <alignment horizontal="center" vertical="center"/>
    </xf>
    <xf numFmtId="0" fontId="162" fillId="3" borderId="10" xfId="0" applyFont="1" applyFill="1" applyBorder="1" applyAlignment="1" applyProtection="1">
      <alignment horizontal="center" vertical="center"/>
    </xf>
    <xf numFmtId="0" fontId="162" fillId="3" borderId="12" xfId="0" applyFont="1" applyFill="1" applyBorder="1" applyAlignment="1" applyProtection="1">
      <alignment horizontal="center" vertical="center"/>
    </xf>
    <xf numFmtId="0" fontId="54" fillId="3" borderId="0" xfId="0" applyFont="1" applyFill="1" applyBorder="1" applyAlignment="1">
      <alignment horizontal="center" vertical="top"/>
    </xf>
    <xf numFmtId="0" fontId="125" fillId="3" borderId="0" xfId="0" applyFont="1" applyFill="1" applyAlignment="1">
      <alignment horizontal="center"/>
    </xf>
    <xf numFmtId="0" fontId="76" fillId="3" borderId="0" xfId="0" applyFont="1" applyFill="1" applyAlignment="1">
      <alignment horizontal="center"/>
    </xf>
    <xf numFmtId="0" fontId="6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5" fillId="0" borderId="0" xfId="0" applyFont="1" applyFill="1" applyBorder="1" applyAlignment="1">
      <alignment horizontal="center" vertical="top" wrapText="1"/>
    </xf>
    <xf numFmtId="0" fontId="57" fillId="3" borderId="9" xfId="0" applyFont="1" applyFill="1" applyBorder="1" applyAlignment="1">
      <alignment horizontal="center"/>
    </xf>
    <xf numFmtId="0" fontId="57" fillId="3" borderId="2" xfId="0" applyFont="1" applyFill="1" applyBorder="1" applyAlignment="1">
      <alignment horizontal="center"/>
    </xf>
    <xf numFmtId="0" fontId="57" fillId="3" borderId="3" xfId="0" applyFont="1" applyFill="1" applyBorder="1" applyAlignment="1">
      <alignment horizontal="center"/>
    </xf>
    <xf numFmtId="0" fontId="57" fillId="3" borderId="6" xfId="0" applyFont="1" applyFill="1" applyBorder="1" applyAlignment="1">
      <alignment horizontal="center"/>
    </xf>
    <xf numFmtId="0" fontId="57" fillId="3" borderId="7" xfId="0" applyFont="1" applyFill="1" applyBorder="1" applyAlignment="1">
      <alignment horizontal="center"/>
    </xf>
    <xf numFmtId="0" fontId="57" fillId="3" borderId="8" xfId="0" applyFont="1" applyFill="1" applyBorder="1" applyAlignment="1">
      <alignment horizontal="center"/>
    </xf>
    <xf numFmtId="0" fontId="63" fillId="3" borderId="0" xfId="0" applyFont="1" applyFill="1" applyAlignment="1">
      <alignment horizontal="center" vertical="top"/>
    </xf>
    <xf numFmtId="0" fontId="33" fillId="3" borderId="25" xfId="0" applyFont="1" applyFill="1" applyBorder="1" applyAlignment="1" applyProtection="1">
      <alignment horizontal="center" vertical="center"/>
    </xf>
    <xf numFmtId="0" fontId="33" fillId="3" borderId="28" xfId="0" applyFont="1" applyFill="1" applyBorder="1" applyAlignment="1" applyProtection="1">
      <alignment horizontal="center" vertical="center"/>
    </xf>
    <xf numFmtId="0" fontId="33" fillId="3" borderId="26" xfId="0" applyFont="1" applyFill="1" applyBorder="1" applyAlignment="1" applyProtection="1">
      <alignment horizontal="center" vertical="center"/>
    </xf>
    <xf numFmtId="0" fontId="108" fillId="3" borderId="46" xfId="0" applyFont="1" applyFill="1" applyBorder="1" applyAlignment="1">
      <alignment horizontal="center" vertical="top"/>
    </xf>
    <xf numFmtId="0" fontId="63" fillId="3" borderId="49" xfId="0" applyFont="1" applyFill="1" applyBorder="1" applyAlignment="1">
      <alignment horizontal="center" vertical="center"/>
    </xf>
    <xf numFmtId="0" fontId="85" fillId="3" borderId="4" xfId="0" applyFont="1" applyFill="1" applyBorder="1" applyAlignment="1">
      <alignment horizontal="center" vertical="center"/>
    </xf>
    <xf numFmtId="0" fontId="85" fillId="3" borderId="0" xfId="0" applyFont="1" applyFill="1" applyBorder="1" applyAlignment="1">
      <alignment horizontal="center" vertical="center"/>
    </xf>
    <xf numFmtId="0" fontId="85" fillId="3" borderId="5" xfId="0" applyFont="1" applyFill="1" applyBorder="1" applyAlignment="1">
      <alignment horizontal="center" vertical="center"/>
    </xf>
    <xf numFmtId="0" fontId="54" fillId="3" borderId="0" xfId="0" applyFont="1" applyFill="1" applyBorder="1" applyAlignment="1">
      <alignment horizontal="left" vertical="top" wrapText="1"/>
    </xf>
    <xf numFmtId="0" fontId="54" fillId="3" borderId="5" xfId="0" applyFont="1" applyFill="1" applyBorder="1" applyAlignment="1">
      <alignment horizontal="left" vertical="top" wrapText="1"/>
    </xf>
    <xf numFmtId="0" fontId="117" fillId="3" borderId="10" xfId="0" applyFont="1" applyFill="1" applyBorder="1" applyAlignment="1" applyProtection="1">
      <alignment horizontal="center" vertical="top"/>
    </xf>
    <xf numFmtId="0" fontId="117" fillId="3" borderId="12" xfId="0" applyFont="1" applyFill="1" applyBorder="1" applyAlignment="1" applyProtection="1">
      <alignment horizontal="center" vertical="top"/>
    </xf>
    <xf numFmtId="0" fontId="151" fillId="3" borderId="0" xfId="0" applyFont="1" applyFill="1" applyAlignment="1">
      <alignment horizontal="center" vertical="center" wrapText="1"/>
    </xf>
    <xf numFmtId="0" fontId="85" fillId="3" borderId="9" xfId="0" applyFont="1" applyFill="1" applyBorder="1" applyAlignment="1">
      <alignment horizontal="center" vertical="center"/>
    </xf>
    <xf numFmtId="0" fontId="85" fillId="3" borderId="2" xfId="0" applyFont="1" applyFill="1" applyBorder="1" applyAlignment="1">
      <alignment horizontal="center" vertical="center"/>
    </xf>
    <xf numFmtId="0" fontId="85" fillId="3" borderId="3" xfId="0" applyFont="1" applyFill="1" applyBorder="1" applyAlignment="1">
      <alignment horizontal="center" vertical="center"/>
    </xf>
    <xf numFmtId="165" fontId="83" fillId="0" borderId="0" xfId="0" applyNumberFormat="1" applyFont="1" applyFill="1" applyBorder="1" applyAlignment="1" applyProtection="1">
      <alignment horizontal="center" vertical="center"/>
      <protection locked="0"/>
    </xf>
    <xf numFmtId="0" fontId="54" fillId="3" borderId="2" xfId="0" applyFont="1" applyFill="1" applyBorder="1" applyAlignment="1">
      <alignment horizontal="center" vertical="center" wrapText="1"/>
    </xf>
    <xf numFmtId="0" fontId="54" fillId="3" borderId="3" xfId="0" applyFont="1" applyFill="1" applyBorder="1" applyAlignment="1">
      <alignment horizontal="center" vertical="center" wrapText="1"/>
    </xf>
    <xf numFmtId="0" fontId="54" fillId="3" borderId="0" xfId="0" applyFont="1" applyFill="1" applyBorder="1" applyAlignment="1">
      <alignment horizontal="center" vertical="center" wrapText="1"/>
    </xf>
    <xf numFmtId="0" fontId="54" fillId="3" borderId="5" xfId="0" applyFont="1" applyFill="1" applyBorder="1" applyAlignment="1">
      <alignment horizontal="center" vertical="center" wrapText="1"/>
    </xf>
    <xf numFmtId="0" fontId="85" fillId="3" borderId="4" xfId="0" applyFont="1" applyFill="1" applyBorder="1" applyAlignment="1">
      <alignment horizontal="center" vertical="center" wrapText="1"/>
    </xf>
    <xf numFmtId="0" fontId="85" fillId="3" borderId="0" xfId="0" applyFont="1" applyFill="1" applyBorder="1" applyAlignment="1">
      <alignment horizontal="center" vertical="center" wrapText="1"/>
    </xf>
    <xf numFmtId="0" fontId="85" fillId="3" borderId="5" xfId="0" applyFont="1" applyFill="1" applyBorder="1" applyAlignment="1">
      <alignment horizontal="center" vertical="center" wrapText="1"/>
    </xf>
    <xf numFmtId="0" fontId="180" fillId="3" borderId="4" xfId="0" applyFont="1" applyFill="1" applyBorder="1" applyAlignment="1">
      <alignment horizontal="center" vertical="top" wrapText="1"/>
    </xf>
    <xf numFmtId="0" fontId="180" fillId="3" borderId="0" xfId="0" applyFont="1" applyFill="1" applyBorder="1" applyAlignment="1">
      <alignment horizontal="center" vertical="top" wrapText="1"/>
    </xf>
    <xf numFmtId="1" fontId="57" fillId="3" borderId="7" xfId="0" applyNumberFormat="1" applyFont="1" applyFill="1" applyBorder="1" applyAlignment="1">
      <alignment horizontal="center"/>
    </xf>
    <xf numFmtId="0" fontId="53" fillId="3" borderId="4" xfId="0" applyFont="1" applyFill="1" applyBorder="1" applyAlignment="1">
      <alignment horizontal="center" vertical="center"/>
    </xf>
    <xf numFmtId="0" fontId="33" fillId="3" borderId="11" xfId="0" applyFont="1" applyFill="1" applyBorder="1" applyAlignment="1" applyProtection="1">
      <alignment horizontal="center" vertical="center"/>
    </xf>
    <xf numFmtId="0" fontId="33" fillId="3" borderId="10" xfId="0" applyFont="1" applyFill="1" applyBorder="1" applyAlignment="1" applyProtection="1">
      <alignment horizontal="center" vertical="center"/>
    </xf>
    <xf numFmtId="0" fontId="33" fillId="3" borderId="12" xfId="0" applyFont="1" applyFill="1" applyBorder="1" applyAlignment="1" applyProtection="1">
      <alignment horizontal="center" vertical="center"/>
    </xf>
    <xf numFmtId="0" fontId="63" fillId="3" borderId="0" xfId="0" applyFont="1" applyFill="1" applyAlignment="1">
      <alignment horizontal="center" vertical="center"/>
    </xf>
    <xf numFmtId="0" fontId="177" fillId="3" borderId="9" xfId="0" applyFont="1" applyFill="1" applyBorder="1" applyAlignment="1">
      <alignment horizontal="center"/>
    </xf>
    <xf numFmtId="0" fontId="177" fillId="3" borderId="2" xfId="0" applyFont="1" applyFill="1" applyBorder="1" applyAlignment="1">
      <alignment horizontal="center"/>
    </xf>
    <xf numFmtId="0" fontId="177" fillId="3" borderId="3" xfId="0" applyFont="1" applyFill="1" applyBorder="1" applyAlignment="1">
      <alignment horizontal="center"/>
    </xf>
    <xf numFmtId="0" fontId="177" fillId="3" borderId="4" xfId="0" applyFont="1" applyFill="1" applyBorder="1" applyAlignment="1">
      <alignment horizontal="center"/>
    </xf>
    <xf numFmtId="0" fontId="177" fillId="3" borderId="0" xfId="0" applyFont="1" applyFill="1" applyBorder="1" applyAlignment="1">
      <alignment horizontal="center"/>
    </xf>
    <xf numFmtId="0" fontId="177" fillId="3" borderId="5" xfId="0" applyFont="1" applyFill="1" applyBorder="1" applyAlignment="1">
      <alignment horizontal="center"/>
    </xf>
    <xf numFmtId="0" fontId="176" fillId="3" borderId="0" xfId="0" applyFont="1" applyFill="1" applyBorder="1" applyAlignment="1">
      <alignment horizontal="center"/>
    </xf>
    <xf numFmtId="0" fontId="53" fillId="4" borderId="0" xfId="0" applyFont="1" applyFill="1" applyBorder="1" applyAlignment="1">
      <alignment horizontal="center" vertical="center"/>
    </xf>
    <xf numFmtId="0" fontId="66" fillId="3" borderId="0" xfId="0" applyFont="1" applyFill="1" applyBorder="1" applyAlignment="1">
      <alignment horizontal="center" vertical="top"/>
    </xf>
    <xf numFmtId="0" fontId="98" fillId="4" borderId="0" xfId="0" applyFont="1" applyFill="1" applyBorder="1" applyAlignment="1">
      <alignment horizontal="center" vertical="center"/>
    </xf>
    <xf numFmtId="0" fontId="64" fillId="4" borderId="0" xfId="0" applyFont="1" applyFill="1" applyBorder="1" applyAlignment="1">
      <alignment horizontal="center" vertical="center" wrapText="1"/>
    </xf>
    <xf numFmtId="0" fontId="70" fillId="3" borderId="2" xfId="0" applyFont="1" applyFill="1" applyBorder="1" applyAlignment="1">
      <alignment horizontal="left" vertical="top"/>
    </xf>
    <xf numFmtId="0" fontId="54" fillId="3" borderId="2" xfId="0" applyFont="1" applyFill="1" applyBorder="1" applyAlignment="1">
      <alignment horizontal="left" vertical="top"/>
    </xf>
    <xf numFmtId="0" fontId="54" fillId="3" borderId="0" xfId="0" applyFont="1" applyFill="1" applyBorder="1" applyAlignment="1">
      <alignment horizontal="left" vertical="top"/>
    </xf>
    <xf numFmtId="1" fontId="85" fillId="3" borderId="4" xfId="4" applyNumberFormat="1" applyFont="1" applyFill="1" applyBorder="1" applyAlignment="1">
      <alignment horizontal="center" vertical="center"/>
    </xf>
    <xf numFmtId="0" fontId="105" fillId="4" borderId="4" xfId="0" applyFont="1" applyFill="1" applyBorder="1" applyAlignment="1">
      <alignment horizontal="center" vertical="center"/>
    </xf>
    <xf numFmtId="0" fontId="105" fillId="4" borderId="0" xfId="0" applyFont="1" applyFill="1" applyBorder="1" applyAlignment="1">
      <alignment horizontal="center" vertical="center"/>
    </xf>
    <xf numFmtId="2" fontId="53" fillId="4" borderId="0" xfId="0" applyNumberFormat="1" applyFont="1" applyFill="1" applyBorder="1" applyAlignment="1">
      <alignment horizontal="center" vertical="center"/>
    </xf>
    <xf numFmtId="2" fontId="53" fillId="4" borderId="5" xfId="0" applyNumberFormat="1" applyFont="1" applyFill="1" applyBorder="1" applyAlignment="1">
      <alignment horizontal="center" vertical="center"/>
    </xf>
    <xf numFmtId="0" fontId="85" fillId="0" borderId="0" xfId="0" applyFont="1" applyFill="1" applyBorder="1" applyAlignment="1">
      <alignment horizontal="center" vertical="center" wrapText="1"/>
    </xf>
    <xf numFmtId="0" fontId="75" fillId="3" borderId="4" xfId="0" applyFont="1" applyFill="1" applyBorder="1" applyAlignment="1">
      <alignment horizontal="center" vertical="center" wrapText="1"/>
    </xf>
    <xf numFmtId="0" fontId="75" fillId="3" borderId="0" xfId="0" applyFont="1" applyFill="1" applyBorder="1" applyAlignment="1">
      <alignment horizontal="center" vertical="center" wrapText="1"/>
    </xf>
    <xf numFmtId="0" fontId="75" fillId="3" borderId="5" xfId="0" applyFont="1" applyFill="1" applyBorder="1" applyAlignment="1">
      <alignment horizontal="center" vertical="center" wrapText="1"/>
    </xf>
    <xf numFmtId="0" fontId="75" fillId="3" borderId="6" xfId="0" applyFont="1" applyFill="1" applyBorder="1" applyAlignment="1">
      <alignment horizontal="center" vertical="center" wrapText="1"/>
    </xf>
    <xf numFmtId="0" fontId="75" fillId="3" borderId="7" xfId="0" applyFont="1" applyFill="1" applyBorder="1" applyAlignment="1">
      <alignment horizontal="center" vertical="center" wrapText="1"/>
    </xf>
    <xf numFmtId="0" fontId="75" fillId="3" borderId="8" xfId="0" applyFont="1" applyFill="1" applyBorder="1" applyAlignment="1">
      <alignment horizontal="center" vertical="center" wrapText="1"/>
    </xf>
    <xf numFmtId="0" fontId="83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 wrapText="1"/>
    </xf>
    <xf numFmtId="165" fontId="56" fillId="4" borderId="0" xfId="0" applyNumberFormat="1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/>
    </xf>
    <xf numFmtId="0" fontId="85" fillId="4" borderId="0" xfId="0" applyFont="1" applyFill="1" applyBorder="1" applyAlignment="1">
      <alignment horizontal="center" vertical="center"/>
    </xf>
    <xf numFmtId="0" fontId="69" fillId="3" borderId="4" xfId="0" applyFont="1" applyFill="1" applyBorder="1" applyAlignment="1">
      <alignment horizontal="center" vertical="center" wrapText="1"/>
    </xf>
    <xf numFmtId="0" fontId="69" fillId="3" borderId="0" xfId="0" applyFont="1" applyFill="1" applyBorder="1" applyAlignment="1">
      <alignment horizontal="center" vertical="center" wrapText="1"/>
    </xf>
    <xf numFmtId="0" fontId="69" fillId="3" borderId="5" xfId="0" applyFont="1" applyFill="1" applyBorder="1" applyAlignment="1">
      <alignment horizontal="center" vertical="center" wrapText="1"/>
    </xf>
    <xf numFmtId="0" fontId="69" fillId="3" borderId="0" xfId="0" applyFont="1" applyFill="1" applyBorder="1" applyAlignment="1">
      <alignment horizontal="center" wrapText="1"/>
    </xf>
    <xf numFmtId="0" fontId="69" fillId="3" borderId="5" xfId="0" applyFont="1" applyFill="1" applyBorder="1" applyAlignment="1">
      <alignment horizontal="center" wrapText="1"/>
    </xf>
    <xf numFmtId="0" fontId="100" fillId="3" borderId="0" xfId="0" applyFont="1" applyFill="1" applyBorder="1" applyAlignment="1">
      <alignment horizontal="center" vertical="center" wrapText="1"/>
    </xf>
    <xf numFmtId="0" fontId="100" fillId="3" borderId="5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center" vertical="center" wrapText="1"/>
    </xf>
    <xf numFmtId="0" fontId="66" fillId="3" borderId="0" xfId="0" applyFont="1" applyFill="1" applyBorder="1" applyAlignment="1">
      <alignment horizontal="center" vertical="center" wrapText="1"/>
    </xf>
    <xf numFmtId="165" fontId="99" fillId="0" borderId="29" xfId="0" applyNumberFormat="1" applyFont="1" applyFill="1" applyBorder="1" applyAlignment="1" applyProtection="1">
      <alignment horizontal="center" vertical="center" wrapText="1"/>
      <protection locked="0"/>
    </xf>
    <xf numFmtId="165" fontId="99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54" fillId="3" borderId="4" xfId="0" applyFont="1" applyFill="1" applyBorder="1" applyAlignment="1">
      <alignment horizontal="center"/>
    </xf>
    <xf numFmtId="0" fontId="54" fillId="3" borderId="0" xfId="0" applyFont="1" applyFill="1" applyBorder="1" applyAlignment="1">
      <alignment horizontal="center"/>
    </xf>
    <xf numFmtId="0" fontId="76" fillId="3" borderId="0" xfId="0" applyFont="1" applyFill="1" applyBorder="1" applyAlignment="1">
      <alignment horizontal="left" vertical="center"/>
    </xf>
    <xf numFmtId="0" fontId="85" fillId="3" borderId="0" xfId="0" applyFont="1" applyFill="1" applyBorder="1" applyAlignment="1">
      <alignment horizontal="center" wrapText="1"/>
    </xf>
    <xf numFmtId="0" fontId="85" fillId="3" borderId="5" xfId="0" applyFont="1" applyFill="1" applyBorder="1" applyAlignment="1">
      <alignment horizontal="center" wrapText="1"/>
    </xf>
    <xf numFmtId="0" fontId="76" fillId="3" borderId="4" xfId="0" applyFont="1" applyFill="1" applyBorder="1" applyAlignment="1">
      <alignment horizontal="center" vertical="center" wrapText="1"/>
    </xf>
    <xf numFmtId="0" fontId="76" fillId="3" borderId="0" xfId="0" applyFont="1" applyFill="1" applyBorder="1" applyAlignment="1">
      <alignment horizontal="center" vertical="center" wrapText="1"/>
    </xf>
    <xf numFmtId="0" fontId="105" fillId="3" borderId="10" xfId="0" applyFont="1" applyFill="1" applyBorder="1" applyAlignment="1">
      <alignment horizontal="center" vertical="center"/>
    </xf>
    <xf numFmtId="0" fontId="105" fillId="3" borderId="7" xfId="0" applyFont="1" applyFill="1" applyBorder="1" applyAlignment="1">
      <alignment horizontal="center" vertical="center"/>
    </xf>
    <xf numFmtId="0" fontId="57" fillId="3" borderId="4" xfId="0" applyFont="1" applyFill="1" applyBorder="1" applyAlignment="1">
      <alignment horizontal="center" vertical="center" wrapText="1"/>
    </xf>
    <xf numFmtId="0" fontId="57" fillId="3" borderId="0" xfId="0" applyFont="1" applyFill="1" applyBorder="1" applyAlignment="1">
      <alignment horizontal="center" vertical="center" wrapText="1"/>
    </xf>
    <xf numFmtId="9" fontId="126" fillId="3" borderId="4" xfId="0" applyNumberFormat="1" applyFont="1" applyFill="1" applyBorder="1" applyAlignment="1">
      <alignment horizontal="right" vertical="top"/>
    </xf>
    <xf numFmtId="9" fontId="126" fillId="3" borderId="0" xfId="0" applyNumberFormat="1" applyFont="1" applyFill="1" applyBorder="1" applyAlignment="1">
      <alignment horizontal="right" vertical="top"/>
    </xf>
    <xf numFmtId="0" fontId="85" fillId="3" borderId="4" xfId="0" applyFont="1" applyFill="1" applyBorder="1" applyAlignment="1">
      <alignment horizontal="center" vertical="top" wrapText="1"/>
    </xf>
    <xf numFmtId="0" fontId="85" fillId="3" borderId="0" xfId="0" applyFont="1" applyFill="1" applyBorder="1" applyAlignment="1">
      <alignment horizontal="center" vertical="top" wrapText="1"/>
    </xf>
    <xf numFmtId="0" fontId="85" fillId="3" borderId="5" xfId="0" applyFont="1" applyFill="1" applyBorder="1" applyAlignment="1">
      <alignment horizontal="center" vertical="top" wrapText="1"/>
    </xf>
    <xf numFmtId="0" fontId="151" fillId="3" borderId="2" xfId="0" applyFont="1" applyFill="1" applyBorder="1" applyAlignment="1">
      <alignment horizontal="center" vertical="center" wrapText="1"/>
    </xf>
    <xf numFmtId="0" fontId="151" fillId="3" borderId="0" xfId="0" applyFont="1" applyFill="1" applyBorder="1" applyAlignment="1">
      <alignment horizontal="center" vertical="center" wrapText="1"/>
    </xf>
    <xf numFmtId="0" fontId="54" fillId="3" borderId="9" xfId="0" applyFont="1" applyFill="1" applyBorder="1" applyAlignment="1">
      <alignment horizontal="center"/>
    </xf>
    <xf numFmtId="0" fontId="54" fillId="3" borderId="2" xfId="0" applyFont="1" applyFill="1" applyBorder="1" applyAlignment="1">
      <alignment horizontal="center"/>
    </xf>
    <xf numFmtId="0" fontId="100" fillId="3" borderId="2" xfId="0" applyFont="1" applyFill="1" applyBorder="1" applyAlignment="1">
      <alignment horizontal="center" vertical="center" wrapText="1"/>
    </xf>
    <xf numFmtId="0" fontId="100" fillId="3" borderId="3" xfId="0" applyFont="1" applyFill="1" applyBorder="1" applyAlignment="1">
      <alignment horizontal="center" vertical="center" wrapText="1"/>
    </xf>
    <xf numFmtId="0" fontId="70" fillId="3" borderId="0" xfId="0" applyFont="1" applyFill="1" applyBorder="1" applyAlignment="1">
      <alignment horizontal="center" wrapText="1"/>
    </xf>
    <xf numFmtId="0" fontId="70" fillId="3" borderId="9" xfId="0" applyFont="1" applyFill="1" applyBorder="1" applyAlignment="1">
      <alignment horizontal="center"/>
    </xf>
    <xf numFmtId="0" fontId="66" fillId="3" borderId="2" xfId="0" applyFont="1" applyFill="1" applyBorder="1" applyAlignment="1">
      <alignment horizontal="center" vertical="center"/>
    </xf>
    <xf numFmtId="0" fontId="66" fillId="3" borderId="0" xfId="0" applyFont="1" applyFill="1" applyBorder="1" applyAlignment="1">
      <alignment horizontal="center" vertical="center"/>
    </xf>
    <xf numFmtId="165" fontId="86" fillId="0" borderId="29" xfId="0" applyNumberFormat="1" applyFont="1" applyFill="1" applyBorder="1" applyAlignment="1">
      <alignment horizontal="center" vertical="center" wrapText="1"/>
    </xf>
    <xf numFmtId="165" fontId="86" fillId="0" borderId="27" xfId="0" applyNumberFormat="1" applyFont="1" applyFill="1" applyBorder="1" applyAlignment="1">
      <alignment horizontal="center" vertical="center" wrapText="1"/>
    </xf>
    <xf numFmtId="0" fontId="69" fillId="3" borderId="4" xfId="0" applyFont="1" applyFill="1" applyBorder="1" applyAlignment="1">
      <alignment horizontal="center" vertical="top" wrapText="1"/>
    </xf>
    <xf numFmtId="0" fontId="69" fillId="3" borderId="6" xfId="0" applyFont="1" applyFill="1" applyBorder="1" applyAlignment="1">
      <alignment horizontal="center" vertical="top" wrapText="1"/>
    </xf>
    <xf numFmtId="1" fontId="69" fillId="3" borderId="4" xfId="0" applyNumberFormat="1" applyFont="1" applyFill="1" applyBorder="1" applyAlignment="1">
      <alignment horizontal="center" vertical="center" wrapText="1"/>
    </xf>
    <xf numFmtId="0" fontId="87" fillId="3" borderId="7" xfId="0" applyFont="1" applyFill="1" applyBorder="1" applyAlignment="1">
      <alignment horizontal="center" vertical="top"/>
    </xf>
    <xf numFmtId="0" fontId="105" fillId="11" borderId="0" xfId="0" applyFont="1" applyFill="1" applyBorder="1" applyAlignment="1">
      <alignment horizontal="center" vertical="center" wrapText="1"/>
    </xf>
    <xf numFmtId="0" fontId="82" fillId="3" borderId="0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top" wrapText="1"/>
    </xf>
    <xf numFmtId="0" fontId="82" fillId="3" borderId="2" xfId="0" applyFont="1" applyFill="1" applyBorder="1" applyAlignment="1">
      <alignment horizontal="center" vertical="top" wrapText="1"/>
    </xf>
    <xf numFmtId="165" fontId="156" fillId="4" borderId="0" xfId="0" applyNumberFormat="1" applyFont="1" applyFill="1" applyBorder="1" applyAlignment="1">
      <alignment horizontal="center" vertical="center" wrapText="1"/>
    </xf>
    <xf numFmtId="0" fontId="67" fillId="3" borderId="0" xfId="0" applyFont="1" applyFill="1" applyBorder="1" applyAlignment="1">
      <alignment horizontal="center" vertical="center" wrapText="1"/>
    </xf>
    <xf numFmtId="1" fontId="69" fillId="4" borderId="0" xfId="0" applyNumberFormat="1" applyFont="1" applyFill="1" applyBorder="1" applyAlignment="1">
      <alignment horizontal="center" vertical="center"/>
    </xf>
    <xf numFmtId="0" fontId="55" fillId="4" borderId="0" xfId="0" applyFont="1" applyFill="1" applyBorder="1" applyAlignment="1">
      <alignment horizontal="center"/>
    </xf>
    <xf numFmtId="0" fontId="53" fillId="3" borderId="2" xfId="0" applyFont="1" applyFill="1" applyBorder="1" applyAlignment="1">
      <alignment horizontal="center"/>
    </xf>
    <xf numFmtId="0" fontId="53" fillId="3" borderId="3" xfId="0" applyFont="1" applyFill="1" applyBorder="1" applyAlignment="1">
      <alignment horizontal="center"/>
    </xf>
    <xf numFmtId="0" fontId="101" fillId="3" borderId="9" xfId="0" applyFont="1" applyFill="1" applyBorder="1" applyAlignment="1">
      <alignment horizontal="center" vertical="center"/>
    </xf>
    <xf numFmtId="0" fontId="101" fillId="3" borderId="2" xfId="0" applyFont="1" applyFill="1" applyBorder="1" applyAlignment="1">
      <alignment horizontal="center" vertical="center"/>
    </xf>
    <xf numFmtId="0" fontId="26" fillId="3" borderId="0" xfId="0" applyFont="1" applyFill="1" applyBorder="1" applyAlignment="1" applyProtection="1">
      <alignment horizontal="center" vertical="top"/>
    </xf>
    <xf numFmtId="0" fontId="10" fillId="3" borderId="11" xfId="0" applyFont="1" applyFill="1" applyBorder="1" applyAlignment="1" applyProtection="1">
      <alignment horizontal="center" vertical="center"/>
    </xf>
    <xf numFmtId="0" fontId="10" fillId="3" borderId="10" xfId="0" applyFont="1" applyFill="1" applyBorder="1" applyAlignment="1" applyProtection="1">
      <alignment horizontal="center" vertical="center"/>
    </xf>
    <xf numFmtId="0" fontId="10" fillId="3" borderId="12" xfId="0" applyFont="1" applyFill="1" applyBorder="1" applyAlignment="1" applyProtection="1">
      <alignment horizontal="center" vertical="center"/>
    </xf>
    <xf numFmtId="0" fontId="69" fillId="3" borderId="0" xfId="0" applyFont="1" applyFill="1" applyBorder="1" applyAlignment="1">
      <alignment horizontal="center" vertical="top" wrapText="1"/>
    </xf>
    <xf numFmtId="165" fontId="86" fillId="4" borderId="0" xfId="0" applyNumberFormat="1" applyFont="1" applyFill="1" applyBorder="1" applyAlignment="1">
      <alignment horizontal="center" vertical="center"/>
    </xf>
    <xf numFmtId="0" fontId="69" fillId="4" borderId="0" xfId="0" applyFont="1" applyFill="1" applyBorder="1" applyAlignment="1">
      <alignment horizontal="center" vertical="center"/>
    </xf>
    <xf numFmtId="1" fontId="93" fillId="4" borderId="0" xfId="0" applyNumberFormat="1" applyFont="1" applyFill="1" applyBorder="1" applyAlignment="1">
      <alignment horizontal="right" vertical="center"/>
    </xf>
    <xf numFmtId="0" fontId="95" fillId="4" borderId="0" xfId="0" applyFont="1" applyFill="1" applyBorder="1" applyAlignment="1">
      <alignment horizontal="center" vertical="center"/>
    </xf>
    <xf numFmtId="0" fontId="61" fillId="4" borderId="0" xfId="0" applyFont="1" applyFill="1" applyBorder="1" applyAlignment="1">
      <alignment horizontal="center" vertical="center" wrapText="1"/>
    </xf>
    <xf numFmtId="164" fontId="69" fillId="4" borderId="0" xfId="0" applyNumberFormat="1" applyFont="1" applyFill="1" applyBorder="1" applyAlignment="1">
      <alignment horizontal="center" vertical="center" wrapText="1"/>
    </xf>
    <xf numFmtId="0" fontId="68" fillId="3" borderId="0" xfId="0" applyNumberFormat="1" applyFont="1" applyFill="1" applyBorder="1" applyAlignment="1">
      <alignment horizontal="right" vertical="center" wrapText="1"/>
    </xf>
    <xf numFmtId="164" fontId="75" fillId="3" borderId="0" xfId="0" applyNumberFormat="1" applyFont="1" applyFill="1" applyBorder="1" applyAlignment="1">
      <alignment horizontal="center" vertical="center" wrapText="1"/>
    </xf>
    <xf numFmtId="0" fontId="61" fillId="4" borderId="0" xfId="0" applyFont="1" applyFill="1" applyBorder="1" applyAlignment="1">
      <alignment horizontal="right" vertical="center"/>
    </xf>
    <xf numFmtId="9" fontId="106" fillId="3" borderId="0" xfId="4" applyFont="1" applyFill="1" applyBorder="1" applyAlignment="1">
      <alignment horizontal="center" vertical="center"/>
    </xf>
    <xf numFmtId="0" fontId="68" fillId="4" borderId="0" xfId="0" applyFont="1" applyFill="1" applyBorder="1" applyAlignment="1">
      <alignment horizontal="center" vertical="center" wrapText="1"/>
    </xf>
    <xf numFmtId="0" fontId="73" fillId="4" borderId="0" xfId="0" applyFont="1" applyFill="1" applyBorder="1" applyAlignment="1">
      <alignment horizontal="center" vertical="center" wrapText="1"/>
    </xf>
    <xf numFmtId="0" fontId="97" fillId="3" borderId="0" xfId="0" applyFont="1" applyFill="1" applyBorder="1" applyAlignment="1">
      <alignment horizontal="center" vertical="center" wrapText="1"/>
    </xf>
    <xf numFmtId="1" fontId="53" fillId="4" borderId="0" xfId="0" applyNumberFormat="1" applyFont="1" applyFill="1" applyBorder="1" applyAlignment="1">
      <alignment horizontal="center" vertical="center"/>
    </xf>
    <xf numFmtId="0" fontId="75" fillId="0" borderId="45" xfId="0" applyFont="1" applyBorder="1" applyAlignment="1" applyProtection="1">
      <alignment horizontal="center" vertical="center"/>
      <protection locked="0"/>
    </xf>
    <xf numFmtId="0" fontId="75" fillId="0" borderId="47" xfId="0" applyFont="1" applyBorder="1" applyAlignment="1" applyProtection="1">
      <alignment horizontal="center" vertical="center"/>
      <protection locked="0"/>
    </xf>
    <xf numFmtId="0" fontId="75" fillId="0" borderId="48" xfId="0" applyFont="1" applyBorder="1" applyAlignment="1" applyProtection="1">
      <alignment horizontal="center" vertical="center"/>
      <protection locked="0"/>
    </xf>
    <xf numFmtId="0" fontId="75" fillId="0" borderId="50" xfId="0" applyFont="1" applyBorder="1" applyAlignment="1" applyProtection="1">
      <alignment horizontal="center" vertical="center"/>
      <protection locked="0"/>
    </xf>
    <xf numFmtId="0" fontId="75" fillId="0" borderId="45" xfId="0" applyFont="1" applyFill="1" applyBorder="1" applyAlignment="1" applyProtection="1">
      <alignment horizontal="center" vertical="center"/>
      <protection locked="0"/>
    </xf>
    <xf numFmtId="0" fontId="75" fillId="0" borderId="47" xfId="0" applyFont="1" applyFill="1" applyBorder="1" applyAlignment="1" applyProtection="1">
      <alignment horizontal="center" vertical="center"/>
      <protection locked="0"/>
    </xf>
    <xf numFmtId="0" fontId="75" fillId="0" borderId="48" xfId="0" applyFont="1" applyFill="1" applyBorder="1" applyAlignment="1" applyProtection="1">
      <alignment horizontal="center" vertical="center"/>
      <protection locked="0"/>
    </xf>
    <xf numFmtId="0" fontId="75" fillId="0" borderId="50" xfId="0" applyFont="1" applyFill="1" applyBorder="1" applyAlignment="1" applyProtection="1">
      <alignment horizontal="center" vertical="center"/>
      <protection locked="0"/>
    </xf>
    <xf numFmtId="0" fontId="88" fillId="3" borderId="2" xfId="0" applyFont="1" applyFill="1" applyBorder="1" applyAlignment="1">
      <alignment horizontal="center" vertical="center"/>
    </xf>
    <xf numFmtId="0" fontId="75" fillId="3" borderId="2" xfId="0" applyFont="1" applyFill="1" applyBorder="1" applyAlignment="1">
      <alignment horizontal="center" vertical="center"/>
    </xf>
    <xf numFmtId="0" fontId="68" fillId="3" borderId="9" xfId="0" applyFont="1" applyFill="1" applyBorder="1" applyAlignment="1">
      <alignment horizontal="center" vertical="center" wrapText="1"/>
    </xf>
    <xf numFmtId="0" fontId="68" fillId="3" borderId="2" xfId="0" applyFont="1" applyFill="1" applyBorder="1" applyAlignment="1">
      <alignment horizontal="center" vertical="center" wrapText="1"/>
    </xf>
    <xf numFmtId="0" fontId="68" fillId="3" borderId="3" xfId="0" applyFont="1" applyFill="1" applyBorder="1" applyAlignment="1">
      <alignment horizontal="center" vertical="center" wrapText="1"/>
    </xf>
    <xf numFmtId="0" fontId="67" fillId="3" borderId="4" xfId="0" applyFont="1" applyFill="1" applyBorder="1" applyAlignment="1">
      <alignment horizontal="center" vertical="center" wrapText="1"/>
    </xf>
    <xf numFmtId="0" fontId="67" fillId="3" borderId="5" xfId="0" applyFont="1" applyFill="1" applyBorder="1" applyAlignment="1">
      <alignment horizontal="center" vertical="center" wrapText="1"/>
    </xf>
    <xf numFmtId="165" fontId="73" fillId="0" borderId="1" xfId="0" applyNumberFormat="1" applyFont="1" applyFill="1" applyBorder="1" applyAlignment="1">
      <alignment horizontal="center" vertical="center" wrapText="1"/>
    </xf>
    <xf numFmtId="0" fontId="73" fillId="4" borderId="0" xfId="0" applyFont="1" applyFill="1" applyBorder="1" applyAlignment="1">
      <alignment horizontal="center" vertical="center"/>
    </xf>
    <xf numFmtId="0" fontId="85" fillId="3" borderId="6" xfId="0" applyFont="1" applyFill="1" applyBorder="1" applyAlignment="1">
      <alignment horizontal="center" vertical="center"/>
    </xf>
    <xf numFmtId="0" fontId="85" fillId="3" borderId="7" xfId="0" applyFont="1" applyFill="1" applyBorder="1" applyAlignment="1">
      <alignment horizontal="center" vertical="center"/>
    </xf>
    <xf numFmtId="0" fontId="85" fillId="3" borderId="8" xfId="0" applyFont="1" applyFill="1" applyBorder="1" applyAlignment="1">
      <alignment horizontal="center" vertical="center"/>
    </xf>
    <xf numFmtId="0" fontId="10" fillId="3" borderId="7" xfId="0" applyFont="1" applyFill="1" applyBorder="1" applyAlignment="1" applyProtection="1">
      <alignment horizontal="center" vertical="center"/>
    </xf>
    <xf numFmtId="0" fontId="102" fillId="3" borderId="9" xfId="0" applyFont="1" applyFill="1" applyBorder="1" applyAlignment="1">
      <alignment horizontal="center" vertical="center" wrapText="1"/>
    </xf>
    <xf numFmtId="0" fontId="102" fillId="3" borderId="2" xfId="0" applyFont="1" applyFill="1" applyBorder="1" applyAlignment="1">
      <alignment horizontal="center" vertical="center" wrapText="1"/>
    </xf>
    <xf numFmtId="0" fontId="102" fillId="3" borderId="3" xfId="0" applyFont="1" applyFill="1" applyBorder="1" applyAlignment="1">
      <alignment horizontal="center" vertical="center" wrapText="1"/>
    </xf>
    <xf numFmtId="167" fontId="73" fillId="0" borderId="1" xfId="0" applyNumberFormat="1" applyFont="1" applyFill="1" applyBorder="1" applyAlignment="1">
      <alignment horizontal="center" vertical="center" wrapText="1"/>
    </xf>
    <xf numFmtId="165" fontId="86" fillId="4" borderId="0" xfId="0" applyNumberFormat="1" applyFont="1" applyFill="1" applyAlignment="1">
      <alignment horizontal="center" vertical="center"/>
    </xf>
    <xf numFmtId="0" fontId="87" fillId="3" borderId="4" xfId="0" applyFont="1" applyFill="1" applyBorder="1" applyAlignment="1">
      <alignment horizontal="center" vertical="center" wrapText="1"/>
    </xf>
    <xf numFmtId="0" fontId="0" fillId="0" borderId="0" xfId="0"/>
    <xf numFmtId="0" fontId="0" fillId="0" borderId="4" xfId="0" applyBorder="1"/>
    <xf numFmtId="0" fontId="54" fillId="3" borderId="0" xfId="0" applyFont="1" applyFill="1" applyAlignment="1" applyProtection="1">
      <alignment horizontal="center" vertical="center" wrapText="1"/>
    </xf>
    <xf numFmtId="165" fontId="13" fillId="4" borderId="30" xfId="0" applyNumberFormat="1" applyFont="1" applyFill="1" applyBorder="1" applyAlignment="1" applyProtection="1">
      <alignment horizontal="center" vertical="center"/>
    </xf>
    <xf numFmtId="0" fontId="16" fillId="4" borderId="1" xfId="0" applyNumberFormat="1" applyFont="1" applyFill="1" applyBorder="1" applyAlignment="1" applyProtection="1">
      <alignment horizontal="center" vertical="center" wrapText="1"/>
    </xf>
    <xf numFmtId="0" fontId="103" fillId="4" borderId="1" xfId="0" applyNumberFormat="1" applyFont="1" applyFill="1" applyBorder="1" applyAlignment="1" applyProtection="1">
      <alignment horizontal="center"/>
    </xf>
    <xf numFmtId="0" fontId="18" fillId="4" borderId="31" xfId="0" applyFont="1" applyFill="1" applyBorder="1" applyAlignment="1" applyProtection="1">
      <alignment horizontal="center" vertical="center" wrapText="1"/>
      <protection locked="0"/>
    </xf>
    <xf numFmtId="0" fontId="18" fillId="4" borderId="32" xfId="0" applyFont="1" applyFill="1" applyBorder="1" applyAlignment="1" applyProtection="1">
      <alignment horizontal="center" vertical="center" wrapText="1"/>
      <protection locked="0"/>
    </xf>
    <xf numFmtId="0" fontId="18" fillId="4" borderId="33" xfId="0" applyFont="1" applyFill="1" applyBorder="1" applyAlignment="1" applyProtection="1">
      <alignment horizontal="center" vertical="center" wrapText="1"/>
      <protection locked="0"/>
    </xf>
    <xf numFmtId="0" fontId="18" fillId="4" borderId="34" xfId="0" applyFont="1" applyFill="1" applyBorder="1" applyAlignment="1" applyProtection="1">
      <alignment horizontal="center" vertical="center" wrapText="1"/>
      <protection locked="0"/>
    </xf>
    <xf numFmtId="167" fontId="13" fillId="4" borderId="35" xfId="0" applyNumberFormat="1" applyFont="1" applyFill="1" applyBorder="1" applyAlignment="1" applyProtection="1">
      <alignment horizontal="center" vertical="center"/>
    </xf>
    <xf numFmtId="167" fontId="13" fillId="4" borderId="36" xfId="0" applyNumberFormat="1" applyFont="1" applyFill="1" applyBorder="1" applyAlignment="1" applyProtection="1">
      <alignment horizontal="center" vertical="center"/>
    </xf>
    <xf numFmtId="0" fontId="104" fillId="3" borderId="2" xfId="0" applyFont="1" applyFill="1" applyBorder="1" applyAlignment="1" applyProtection="1">
      <alignment horizontal="center" wrapText="1"/>
    </xf>
    <xf numFmtId="0" fontId="11" fillId="4" borderId="25" xfId="0" applyFont="1" applyFill="1" applyBorder="1" applyAlignment="1" applyProtection="1">
      <alignment horizontal="center" vertical="center"/>
    </xf>
    <xf numFmtId="0" fontId="11" fillId="4" borderId="28" xfId="0" applyFont="1" applyFill="1" applyBorder="1" applyAlignment="1" applyProtection="1">
      <alignment horizontal="center" vertical="center"/>
    </xf>
    <xf numFmtId="0" fontId="11" fillId="4" borderId="37" xfId="0" applyFont="1" applyFill="1" applyBorder="1" applyAlignment="1" applyProtection="1">
      <alignment horizontal="center" vertical="center"/>
    </xf>
    <xf numFmtId="0" fontId="11" fillId="4" borderId="18" xfId="0" applyFont="1" applyFill="1" applyBorder="1" applyAlignment="1" applyProtection="1">
      <alignment horizontal="center" vertical="center"/>
    </xf>
    <xf numFmtId="0" fontId="11" fillId="4" borderId="19" xfId="0" applyFont="1" applyFill="1" applyBorder="1" applyAlignment="1" applyProtection="1">
      <alignment horizontal="center" vertical="center"/>
    </xf>
    <xf numFmtId="1" fontId="18" fillId="4" borderId="24" xfId="0" applyNumberFormat="1" applyFont="1" applyFill="1" applyBorder="1" applyAlignment="1" applyProtection="1">
      <alignment horizontal="center" vertical="center" wrapText="1"/>
    </xf>
    <xf numFmtId="1" fontId="18" fillId="4" borderId="1" xfId="0" applyNumberFormat="1" applyFont="1" applyFill="1" applyBorder="1" applyAlignment="1" applyProtection="1">
      <alignment horizontal="center" vertical="center" wrapText="1"/>
    </xf>
    <xf numFmtId="165" fontId="13" fillId="4" borderId="38" xfId="0" applyNumberFormat="1" applyFont="1" applyFill="1" applyBorder="1" applyAlignment="1" applyProtection="1">
      <alignment horizontal="center" vertical="center"/>
    </xf>
    <xf numFmtId="1" fontId="18" fillId="4" borderId="16" xfId="0" applyNumberFormat="1" applyFont="1" applyFill="1" applyBorder="1" applyAlignment="1" applyProtection="1">
      <alignment horizontal="center" vertical="center" wrapText="1"/>
    </xf>
    <xf numFmtId="1" fontId="105" fillId="4" borderId="29" xfId="0" applyNumberFormat="1" applyFont="1" applyFill="1" applyBorder="1" applyAlignment="1">
      <alignment horizontal="center" vertical="center"/>
    </xf>
    <xf numFmtId="1" fontId="105" fillId="4" borderId="27" xfId="0" applyNumberFormat="1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75" fillId="3" borderId="4" xfId="0" applyFont="1" applyFill="1" applyBorder="1" applyAlignment="1">
      <alignment horizontal="center" vertical="center"/>
    </xf>
    <xf numFmtId="0" fontId="75" fillId="3" borderId="0" xfId="0" applyFont="1" applyFill="1" applyBorder="1" applyAlignment="1">
      <alignment horizontal="center" vertical="center"/>
    </xf>
    <xf numFmtId="0" fontId="75" fillId="3" borderId="5" xfId="0" applyFont="1" applyFill="1" applyBorder="1" applyAlignment="1">
      <alignment horizontal="center" vertical="center"/>
    </xf>
    <xf numFmtId="0" fontId="35" fillId="4" borderId="1" xfId="0" applyFont="1" applyFill="1" applyBorder="1" applyAlignment="1" applyProtection="1">
      <alignment horizontal="center" vertical="center" wrapText="1"/>
    </xf>
    <xf numFmtId="0" fontId="85" fillId="3" borderId="0" xfId="0" applyFont="1" applyFill="1" applyBorder="1" applyAlignment="1">
      <alignment horizontal="center"/>
    </xf>
    <xf numFmtId="0" fontId="73" fillId="3" borderId="4" xfId="0" applyFont="1" applyFill="1" applyBorder="1" applyAlignment="1">
      <alignment horizontal="center" vertical="center" wrapText="1"/>
    </xf>
    <xf numFmtId="0" fontId="73" fillId="3" borderId="0" xfId="0" applyFont="1" applyFill="1" applyBorder="1" applyAlignment="1">
      <alignment horizontal="center" vertical="center" wrapText="1"/>
    </xf>
    <xf numFmtId="164" fontId="18" fillId="4" borderId="39" xfId="2" applyFont="1" applyFill="1" applyBorder="1" applyAlignment="1" applyProtection="1">
      <alignment horizontal="center" vertical="center" wrapText="1"/>
      <protection locked="0"/>
    </xf>
    <xf numFmtId="164" fontId="18" fillId="4" borderId="40" xfId="2" applyFont="1" applyFill="1" applyBorder="1" applyAlignment="1" applyProtection="1">
      <alignment horizontal="center" vertical="center" wrapText="1"/>
      <protection locked="0"/>
    </xf>
    <xf numFmtId="164" fontId="18" fillId="4" borderId="41" xfId="2" applyFont="1" applyFill="1" applyBorder="1" applyAlignment="1" applyProtection="1">
      <alignment horizontal="center" vertical="center" wrapText="1"/>
      <protection locked="0"/>
    </xf>
    <xf numFmtId="0" fontId="6" fillId="4" borderId="16" xfId="0" applyFont="1" applyFill="1" applyBorder="1" applyAlignment="1" applyProtection="1">
      <alignment horizontal="center" vertical="center"/>
    </xf>
    <xf numFmtId="0" fontId="6" fillId="4" borderId="17" xfId="0" applyFont="1" applyFill="1" applyBorder="1" applyAlignment="1" applyProtection="1">
      <alignment horizontal="center" vertical="center"/>
    </xf>
    <xf numFmtId="0" fontId="16" fillId="4" borderId="38" xfId="0" applyFont="1" applyFill="1" applyBorder="1" applyAlignment="1" applyProtection="1">
      <alignment horizontal="center" vertical="center" wrapText="1"/>
    </xf>
    <xf numFmtId="0" fontId="16" fillId="4" borderId="30" xfId="0" applyFont="1" applyFill="1" applyBorder="1" applyAlignment="1" applyProtection="1">
      <alignment horizontal="center" vertical="center" wrapText="1"/>
    </xf>
    <xf numFmtId="0" fontId="6" fillId="4" borderId="38" xfId="0" applyFont="1" applyFill="1" applyBorder="1" applyAlignment="1" applyProtection="1">
      <alignment horizontal="center" vertical="center"/>
    </xf>
    <xf numFmtId="0" fontId="6" fillId="4" borderId="30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6" fillId="3" borderId="4" xfId="0" applyFont="1" applyFill="1" applyBorder="1" applyAlignment="1">
      <alignment horizontal="center" vertical="center"/>
    </xf>
    <xf numFmtId="0" fontId="86" fillId="3" borderId="0" xfId="0" applyFont="1" applyFill="1" applyBorder="1" applyAlignment="1">
      <alignment horizontal="center" vertical="center"/>
    </xf>
    <xf numFmtId="0" fontId="86" fillId="3" borderId="4" xfId="0" applyFont="1" applyFill="1" applyBorder="1" applyAlignment="1">
      <alignment horizontal="center" vertical="top"/>
    </xf>
    <xf numFmtId="0" fontId="86" fillId="3" borderId="0" xfId="0" applyFont="1" applyFill="1" applyBorder="1" applyAlignment="1">
      <alignment horizontal="center" vertical="top"/>
    </xf>
    <xf numFmtId="0" fontId="75" fillId="3" borderId="9" xfId="0" applyFont="1" applyFill="1" applyBorder="1" applyAlignment="1">
      <alignment horizontal="center" wrapText="1"/>
    </xf>
    <xf numFmtId="0" fontId="75" fillId="3" borderId="2" xfId="0" applyFont="1" applyFill="1" applyBorder="1" applyAlignment="1">
      <alignment horizontal="center" wrapText="1"/>
    </xf>
    <xf numFmtId="0" fontId="75" fillId="3" borderId="3" xfId="0" applyFont="1" applyFill="1" applyBorder="1" applyAlignment="1">
      <alignment horizontal="center" wrapText="1"/>
    </xf>
    <xf numFmtId="0" fontId="68" fillId="3" borderId="4" xfId="0" applyFont="1" applyFill="1" applyBorder="1" applyAlignment="1">
      <alignment horizontal="center" vertical="top"/>
    </xf>
    <xf numFmtId="0" fontId="68" fillId="3" borderId="0" xfId="0" applyFont="1" applyFill="1" applyAlignment="1">
      <alignment horizontal="center" vertical="top"/>
    </xf>
    <xf numFmtId="0" fontId="68" fillId="3" borderId="5" xfId="0" applyFont="1" applyFill="1" applyBorder="1" applyAlignment="1">
      <alignment horizontal="center" vertical="top"/>
    </xf>
    <xf numFmtId="1" fontId="69" fillId="3" borderId="46" xfId="0" applyNumberFormat="1" applyFont="1" applyFill="1" applyBorder="1" applyAlignment="1">
      <alignment horizontal="center" vertical="center"/>
    </xf>
    <xf numFmtId="1" fontId="69" fillId="3" borderId="7" xfId="0" applyNumberFormat="1" applyFont="1" applyFill="1" applyBorder="1" applyAlignment="1">
      <alignment horizontal="center" vertical="center"/>
    </xf>
    <xf numFmtId="0" fontId="69" fillId="3" borderId="46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9" fontId="6" fillId="4" borderId="23" xfId="4" applyFont="1" applyFill="1" applyBorder="1" applyAlignment="1">
      <alignment horizontal="center" vertical="center"/>
    </xf>
    <xf numFmtId="9" fontId="6" fillId="4" borderId="44" xfId="4" applyFont="1" applyFill="1" applyBorder="1" applyAlignment="1">
      <alignment horizontal="center" vertical="center"/>
    </xf>
    <xf numFmtId="1" fontId="184" fillId="0" borderId="30" xfId="6" applyNumberFormat="1" applyFont="1" applyFill="1" applyBorder="1" applyAlignment="1" applyProtection="1">
      <alignment horizontal="center" vertical="center"/>
      <protection locked="0"/>
    </xf>
    <xf numFmtId="0" fontId="14" fillId="5" borderId="23" xfId="0" applyFont="1" applyFill="1" applyBorder="1" applyAlignment="1" applyProtection="1">
      <alignment horizontal="left" vertical="center"/>
      <protection locked="0"/>
    </xf>
    <xf numFmtId="0" fontId="14" fillId="5" borderId="24" xfId="0" applyFont="1" applyFill="1" applyBorder="1" applyAlignment="1" applyProtection="1">
      <alignment horizontal="left" vertical="center"/>
      <protection locked="0"/>
    </xf>
    <xf numFmtId="1" fontId="184" fillId="0" borderId="58" xfId="6" applyNumberFormat="1" applyFont="1" applyFill="1" applyBorder="1" applyAlignment="1" applyProtection="1">
      <alignment horizontal="center" vertical="center"/>
      <protection locked="0"/>
    </xf>
    <xf numFmtId="1" fontId="184" fillId="0" borderId="39" xfId="6" applyNumberFormat="1" applyFont="1" applyFill="1" applyBorder="1" applyAlignment="1" applyProtection="1">
      <alignment horizontal="center" vertical="center"/>
      <protection locked="0"/>
    </xf>
    <xf numFmtId="0" fontId="14" fillId="5" borderId="44" xfId="0" applyFont="1" applyFill="1" applyBorder="1" applyAlignment="1" applyProtection="1">
      <alignment horizontal="left" vertical="center"/>
      <protection locked="0"/>
    </xf>
    <xf numFmtId="9" fontId="6" fillId="4" borderId="24" xfId="4" applyFont="1" applyFill="1" applyBorder="1" applyAlignment="1">
      <alignment horizontal="center" vertical="center"/>
    </xf>
    <xf numFmtId="1" fontId="37" fillId="5" borderId="23" xfId="6" applyNumberFormat="1" applyFont="1" applyFill="1" applyBorder="1" applyAlignment="1" applyProtection="1">
      <alignment horizontal="center" vertical="center" wrapText="1"/>
      <protection locked="0"/>
    </xf>
    <xf numFmtId="1" fontId="37" fillId="5" borderId="24" xfId="6" applyNumberFormat="1" applyFont="1" applyFill="1" applyBorder="1" applyAlignment="1" applyProtection="1">
      <alignment horizontal="center" vertical="center" wrapText="1"/>
      <protection locked="0"/>
    </xf>
    <xf numFmtId="1" fontId="37" fillId="5" borderId="44" xfId="6" applyNumberFormat="1" applyFont="1" applyFill="1" applyBorder="1" applyAlignment="1" applyProtection="1">
      <alignment horizontal="center" vertical="center" wrapText="1"/>
      <protection locked="0"/>
    </xf>
    <xf numFmtId="0" fontId="75" fillId="3" borderId="0" xfId="0" applyFont="1" applyFill="1" applyAlignment="1">
      <alignment horizontal="center" vertical="center"/>
    </xf>
    <xf numFmtId="0" fontId="6" fillId="4" borderId="31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9" xfId="0" applyFont="1" applyFill="1" applyBorder="1" applyAlignment="1">
      <alignment horizontal="center" vertical="center"/>
    </xf>
    <xf numFmtId="0" fontId="6" fillId="4" borderId="52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97" fillId="3" borderId="2" xfId="0" applyFont="1" applyFill="1" applyBorder="1" applyAlignment="1">
      <alignment horizontal="center" vertical="top" wrapText="1"/>
    </xf>
    <xf numFmtId="0" fontId="97" fillId="3" borderId="0" xfId="0" applyFont="1" applyFill="1" applyAlignment="1">
      <alignment horizontal="center" vertical="top" wrapText="1"/>
    </xf>
    <xf numFmtId="0" fontId="30" fillId="4" borderId="35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0" fontId="83" fillId="0" borderId="11" xfId="0" applyFont="1" applyFill="1" applyBorder="1" applyAlignment="1" applyProtection="1">
      <alignment horizontal="center" vertical="center"/>
      <protection locked="0"/>
    </xf>
    <xf numFmtId="0" fontId="83" fillId="0" borderId="10" xfId="0" applyFont="1" applyFill="1" applyBorder="1" applyAlignment="1" applyProtection="1">
      <alignment horizontal="center" vertical="center"/>
      <protection locked="0"/>
    </xf>
    <xf numFmtId="0" fontId="83" fillId="0" borderId="12" xfId="0" applyFont="1" applyFill="1" applyBorder="1" applyAlignment="1" applyProtection="1">
      <alignment horizontal="center" vertical="center"/>
      <protection locked="0"/>
    </xf>
    <xf numFmtId="0" fontId="11" fillId="0" borderId="18" xfId="0" applyFont="1" applyFill="1" applyBorder="1" applyAlignment="1" applyProtection="1">
      <alignment horizontal="center" vertical="center"/>
    </xf>
    <xf numFmtId="0" fontId="11" fillId="0" borderId="19" xfId="0" applyFont="1" applyFill="1" applyBorder="1" applyAlignment="1" applyProtection="1">
      <alignment horizontal="center" vertical="center"/>
    </xf>
    <xf numFmtId="0" fontId="54" fillId="0" borderId="0" xfId="0" applyFont="1" applyFill="1" applyAlignment="1" applyProtection="1">
      <alignment horizontal="center" vertical="center" wrapText="1"/>
    </xf>
    <xf numFmtId="0" fontId="104" fillId="0" borderId="2" xfId="0" applyFont="1" applyFill="1" applyBorder="1" applyAlignment="1" applyProtection="1">
      <alignment horizontal="center" wrapText="1"/>
    </xf>
    <xf numFmtId="165" fontId="107" fillId="0" borderId="30" xfId="0" applyNumberFormat="1" applyFont="1" applyFill="1" applyBorder="1" applyAlignment="1" applyProtection="1">
      <alignment horizontal="center" vertical="center"/>
      <protection locked="0"/>
    </xf>
    <xf numFmtId="1" fontId="18" fillId="0" borderId="24" xfId="0" applyNumberFormat="1" applyFont="1" applyFill="1" applyBorder="1" applyAlignment="1" applyProtection="1">
      <alignment horizontal="center" vertical="center" wrapText="1"/>
      <protection locked="0"/>
    </xf>
    <xf numFmtId="1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9" fillId="0" borderId="0" xfId="0" applyFont="1" applyFill="1" applyAlignment="1">
      <alignment horizontal="center" vertical="center"/>
    </xf>
    <xf numFmtId="1" fontId="105" fillId="0" borderId="29" xfId="0" applyNumberFormat="1" applyFont="1" applyFill="1" applyBorder="1" applyAlignment="1">
      <alignment horizontal="center" vertical="center"/>
    </xf>
    <xf numFmtId="1" fontId="105" fillId="0" borderId="27" xfId="0" applyNumberFormat="1" applyFont="1" applyFill="1" applyBorder="1" applyAlignment="1">
      <alignment horizontal="center" vertical="center"/>
    </xf>
    <xf numFmtId="167" fontId="107" fillId="0" borderId="35" xfId="0" applyNumberFormat="1" applyFont="1" applyFill="1" applyBorder="1" applyAlignment="1" applyProtection="1">
      <alignment horizontal="center" vertical="center"/>
      <protection locked="0"/>
    </xf>
    <xf numFmtId="167" fontId="107" fillId="0" borderId="36" xfId="0" applyNumberFormat="1" applyFont="1" applyFill="1" applyBorder="1" applyAlignment="1" applyProtection="1">
      <alignment horizontal="center" vertical="center"/>
      <protection locked="0"/>
    </xf>
    <xf numFmtId="0" fontId="18" fillId="0" borderId="31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Fill="1" applyBorder="1" applyAlignment="1" applyProtection="1">
      <alignment horizontal="center" vertical="center" wrapText="1"/>
      <protection locked="0"/>
    </xf>
    <xf numFmtId="0" fontId="18" fillId="0" borderId="33" xfId="0" applyFont="1" applyFill="1" applyBorder="1" applyAlignment="1" applyProtection="1">
      <alignment horizontal="center" vertical="center" wrapText="1"/>
      <protection locked="0"/>
    </xf>
    <xf numFmtId="0" fontId="18" fillId="0" borderId="34" xfId="0" applyFont="1" applyFill="1" applyBorder="1" applyAlignment="1" applyProtection="1">
      <alignment horizontal="center" vertical="center" wrapText="1"/>
      <protection locked="0"/>
    </xf>
    <xf numFmtId="1" fontId="18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3" fillId="0" borderId="1" xfId="0" applyNumberFormat="1" applyFont="1" applyFill="1" applyBorder="1" applyAlignment="1">
      <alignment horizontal="center"/>
    </xf>
    <xf numFmtId="165" fontId="107" fillId="0" borderId="38" xfId="0" applyNumberFormat="1" applyFont="1" applyFill="1" applyBorder="1" applyAlignment="1" applyProtection="1">
      <alignment horizontal="center" vertical="center"/>
      <protection locked="0"/>
    </xf>
    <xf numFmtId="0" fontId="33" fillId="0" borderId="48" xfId="0" applyFont="1" applyFill="1" applyBorder="1" applyAlignment="1" applyProtection="1">
      <alignment horizontal="center" vertical="center"/>
    </xf>
    <xf numFmtId="0" fontId="33" fillId="0" borderId="49" xfId="0" applyFont="1" applyFill="1" applyBorder="1" applyAlignment="1" applyProtection="1">
      <alignment horizontal="center" vertical="center"/>
    </xf>
    <xf numFmtId="0" fontId="33" fillId="0" borderId="50" xfId="0" applyFont="1" applyFill="1" applyBorder="1" applyAlignment="1" applyProtection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 applyProtection="1">
      <alignment horizontal="center" vertical="center"/>
    </xf>
    <xf numFmtId="0" fontId="11" fillId="0" borderId="28" xfId="0" applyFont="1" applyFill="1" applyBorder="1" applyAlignment="1" applyProtection="1">
      <alignment horizontal="center" vertical="center"/>
    </xf>
    <xf numFmtId="0" fontId="11" fillId="0" borderId="37" xfId="0" applyFont="1" applyFill="1" applyBorder="1" applyAlignment="1" applyProtection="1">
      <alignment horizontal="center" vertical="center"/>
    </xf>
    <xf numFmtId="0" fontId="6" fillId="0" borderId="38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6" fillId="0" borderId="30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17" xfId="0" applyFont="1" applyFill="1" applyBorder="1" applyAlignment="1" applyProtection="1">
      <alignment horizontal="center" vertical="center"/>
    </xf>
    <xf numFmtId="164" fontId="18" fillId="0" borderId="39" xfId="2" applyFont="1" applyFill="1" applyBorder="1" applyAlignment="1" applyProtection="1">
      <alignment horizontal="center" vertical="center" wrapText="1"/>
      <protection locked="0"/>
    </xf>
    <xf numFmtId="164" fontId="18" fillId="0" borderId="40" xfId="2" applyFont="1" applyFill="1" applyBorder="1" applyAlignment="1" applyProtection="1">
      <alignment horizontal="center" vertical="center" wrapText="1"/>
      <protection locked="0"/>
    </xf>
    <xf numFmtId="164" fontId="18" fillId="0" borderId="41" xfId="2" applyFont="1" applyFill="1" applyBorder="1" applyAlignment="1" applyProtection="1">
      <alignment horizontal="center" vertical="center" wrapText="1"/>
      <protection locked="0"/>
    </xf>
    <xf numFmtId="0" fontId="16" fillId="0" borderId="38" xfId="0" applyFont="1" applyFill="1" applyBorder="1" applyAlignment="1" applyProtection="1">
      <alignment horizontal="center" vertical="center" wrapText="1"/>
    </xf>
    <xf numFmtId="0" fontId="16" fillId="0" borderId="30" xfId="0" applyFont="1" applyFill="1" applyBorder="1" applyAlignment="1" applyProtection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19" fillId="0" borderId="51" xfId="6" applyNumberFormat="1" applyFont="1" applyFill="1" applyBorder="1" applyAlignment="1" applyProtection="1">
      <alignment horizontal="center" vertical="center"/>
      <protection locked="0"/>
    </xf>
    <xf numFmtId="1" fontId="19" fillId="0" borderId="39" xfId="6" applyNumberFormat="1" applyFont="1" applyFill="1" applyBorder="1" applyAlignment="1" applyProtection="1">
      <alignment horizontal="center" vertical="center"/>
      <protection locked="0"/>
    </xf>
    <xf numFmtId="1" fontId="19" fillId="0" borderId="1" xfId="6" applyNumberFormat="1" applyFont="1" applyFill="1" applyBorder="1" applyAlignment="1" applyProtection="1">
      <alignment horizontal="center" vertical="center"/>
      <protection locked="0"/>
    </xf>
    <xf numFmtId="1" fontId="19" fillId="0" borderId="13" xfId="6" applyNumberFormat="1" applyFont="1" applyFill="1" applyBorder="1" applyAlignment="1" applyProtection="1">
      <alignment horizontal="center" vertical="center"/>
      <protection locked="0"/>
    </xf>
    <xf numFmtId="9" fontId="18" fillId="0" borderId="23" xfId="4" applyFont="1" applyFill="1" applyBorder="1" applyAlignment="1">
      <alignment horizontal="center" vertical="center"/>
    </xf>
    <xf numFmtId="9" fontId="18" fillId="0" borderId="44" xfId="4" applyFont="1" applyFill="1" applyBorder="1" applyAlignment="1">
      <alignment horizontal="center" vertical="center"/>
    </xf>
    <xf numFmtId="9" fontId="18" fillId="0" borderId="24" xfId="4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0" fontId="36" fillId="0" borderId="49" xfId="0" applyFont="1" applyFill="1" applyBorder="1" applyAlignment="1">
      <alignment horizontal="center" vertical="center" wrapText="1"/>
    </xf>
    <xf numFmtId="0" fontId="83" fillId="0" borderId="11" xfId="0" applyFont="1" applyFill="1" applyBorder="1" applyAlignment="1" applyProtection="1">
      <alignment horizontal="center" vertical="center" wrapText="1"/>
      <protection locked="0"/>
    </xf>
    <xf numFmtId="0" fontId="83" fillId="0" borderId="10" xfId="0" applyFont="1" applyFill="1" applyBorder="1" applyAlignment="1" applyProtection="1">
      <alignment horizontal="center" vertical="center" wrapText="1"/>
      <protection locked="0"/>
    </xf>
    <xf numFmtId="0" fontId="83" fillId="0" borderId="12" xfId="0" applyFont="1" applyFill="1" applyBorder="1" applyAlignment="1" applyProtection="1">
      <alignment horizontal="center" vertical="center" wrapText="1"/>
      <protection locked="0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63" fillId="0" borderId="0" xfId="0" applyFont="1" applyFill="1" applyBorder="1" applyAlignment="1">
      <alignment horizontal="center"/>
    </xf>
    <xf numFmtId="0" fontId="30" fillId="0" borderId="35" xfId="0" applyFont="1" applyFill="1" applyBorder="1" applyAlignment="1">
      <alignment horizontal="center" vertical="center" wrapText="1"/>
    </xf>
    <xf numFmtId="0" fontId="30" fillId="0" borderId="43" xfId="0" applyFont="1" applyFill="1" applyBorder="1" applyAlignment="1">
      <alignment horizontal="center" vertical="center" wrapText="1"/>
    </xf>
    <xf numFmtId="0" fontId="18" fillId="0" borderId="59" xfId="0" applyFont="1" applyFill="1" applyBorder="1" applyAlignment="1">
      <alignment horizontal="center" vertical="center"/>
    </xf>
    <xf numFmtId="0" fontId="18" fillId="0" borderId="52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/>
    </xf>
    <xf numFmtId="172" fontId="0" fillId="0" borderId="4" xfId="0" applyNumberFormat="1" applyBorder="1" applyAlignment="1">
      <alignment horizontal="center"/>
    </xf>
    <xf numFmtId="172" fontId="0" fillId="0" borderId="0" xfId="0" applyNumberFormat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17" fillId="4" borderId="54" xfId="0" applyNumberFormat="1" applyFont="1" applyFill="1" applyBorder="1" applyAlignment="1" applyProtection="1">
      <alignment horizontal="center" vertical="center"/>
    </xf>
    <xf numFmtId="165" fontId="17" fillId="4" borderId="44" xfId="0" applyNumberFormat="1" applyFont="1" applyFill="1" applyBorder="1" applyAlignment="1" applyProtection="1">
      <alignment horizontal="center" vertical="center"/>
    </xf>
    <xf numFmtId="1" fontId="17" fillId="4" borderId="54" xfId="0" applyNumberFormat="1" applyFont="1" applyFill="1" applyBorder="1" applyAlignment="1" applyProtection="1">
      <alignment horizontal="center" vertical="center"/>
    </xf>
    <xf numFmtId="1" fontId="17" fillId="4" borderId="44" xfId="0" applyNumberFormat="1" applyFont="1" applyFill="1" applyBorder="1" applyAlignment="1" applyProtection="1">
      <alignment horizontal="center" vertical="center"/>
    </xf>
    <xf numFmtId="2" fontId="17" fillId="4" borderId="54" xfId="0" applyNumberFormat="1" applyFont="1" applyFill="1" applyBorder="1" applyAlignment="1" applyProtection="1">
      <alignment horizontal="center" vertical="center"/>
    </xf>
    <xf numFmtId="2" fontId="17" fillId="4" borderId="44" xfId="0" applyNumberFormat="1" applyFont="1" applyFill="1" applyBorder="1" applyAlignment="1" applyProtection="1">
      <alignment horizontal="center" vertical="center"/>
    </xf>
    <xf numFmtId="0" fontId="191" fillId="3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Alignment="1">
      <alignment horizontal="center"/>
    </xf>
    <xf numFmtId="1" fontId="86" fillId="3" borderId="9" xfId="4" applyNumberFormat="1" applyFont="1" applyFill="1" applyBorder="1" applyAlignment="1">
      <alignment horizontal="center" vertical="center"/>
    </xf>
    <xf numFmtId="1" fontId="86" fillId="3" borderId="2" xfId="4" applyNumberFormat="1" applyFont="1" applyFill="1" applyBorder="1" applyAlignment="1">
      <alignment horizontal="center" vertical="center"/>
    </xf>
    <xf numFmtId="1" fontId="86" fillId="3" borderId="3" xfId="4" applyNumberFormat="1" applyFont="1" applyFill="1" applyBorder="1" applyAlignment="1">
      <alignment horizontal="center" vertical="center"/>
    </xf>
    <xf numFmtId="1" fontId="86" fillId="3" borderId="4" xfId="4" applyNumberFormat="1" applyFont="1" applyFill="1" applyBorder="1" applyAlignment="1">
      <alignment horizontal="center" vertical="center"/>
    </xf>
    <xf numFmtId="1" fontId="86" fillId="3" borderId="0" xfId="4" applyNumberFormat="1" applyFont="1" applyFill="1" applyBorder="1" applyAlignment="1">
      <alignment horizontal="center" vertical="center"/>
    </xf>
    <xf numFmtId="1" fontId="86" fillId="3" borderId="5" xfId="4" applyNumberFormat="1" applyFont="1" applyFill="1" applyBorder="1" applyAlignment="1">
      <alignment horizontal="center" vertical="center"/>
    </xf>
    <xf numFmtId="2" fontId="115" fillId="5" borderId="0" xfId="4" applyNumberFormat="1" applyFont="1" applyFill="1" applyBorder="1" applyAlignment="1" applyProtection="1">
      <alignment horizontal="right" vertical="center"/>
    </xf>
    <xf numFmtId="1" fontId="55" fillId="3" borderId="4" xfId="4" applyNumberFormat="1" applyFont="1" applyFill="1" applyBorder="1" applyAlignment="1">
      <alignment horizontal="center" vertical="center" wrapText="1"/>
    </xf>
    <xf numFmtId="1" fontId="55" fillId="3" borderId="0" xfId="4" applyNumberFormat="1" applyFont="1" applyFill="1" applyBorder="1" applyAlignment="1">
      <alignment horizontal="center" vertical="center" wrapText="1"/>
    </xf>
    <xf numFmtId="0" fontId="60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0" fontId="86" fillId="3" borderId="2" xfId="0" applyFont="1" applyFill="1" applyBorder="1" applyAlignment="1">
      <alignment horizontal="left" vertical="center"/>
    </xf>
    <xf numFmtId="0" fontId="86" fillId="3" borderId="0" xfId="0" applyFont="1" applyFill="1" applyBorder="1" applyAlignment="1">
      <alignment horizontal="left" vertical="center"/>
    </xf>
    <xf numFmtId="0" fontId="70" fillId="3" borderId="9" xfId="0" applyFont="1" applyFill="1" applyBorder="1" applyAlignment="1">
      <alignment horizontal="center" vertical="top" wrapText="1"/>
    </xf>
    <xf numFmtId="0" fontId="70" fillId="3" borderId="2" xfId="0" applyFont="1" applyFill="1" applyBorder="1" applyAlignment="1">
      <alignment horizontal="center" vertical="top" wrapText="1"/>
    </xf>
    <xf numFmtId="0" fontId="70" fillId="3" borderId="4" xfId="0" applyFont="1" applyFill="1" applyBorder="1" applyAlignment="1">
      <alignment horizontal="center" vertical="top" wrapText="1"/>
    </xf>
    <xf numFmtId="0" fontId="70" fillId="3" borderId="0" xfId="0" applyFont="1" applyFill="1" applyBorder="1" applyAlignment="1">
      <alignment horizontal="center" vertical="top" wrapText="1"/>
    </xf>
    <xf numFmtId="0" fontId="63" fillId="3" borderId="7" xfId="0" applyFont="1" applyFill="1" applyBorder="1" applyAlignment="1">
      <alignment horizontal="center" vertical="center"/>
    </xf>
    <xf numFmtId="1" fontId="13" fillId="0" borderId="42" xfId="6" applyNumberFormat="1" applyFont="1" applyFill="1" applyBorder="1" applyAlignment="1" applyProtection="1">
      <alignment horizontal="center" vertical="center"/>
      <protection locked="0"/>
    </xf>
    <xf numFmtId="1" fontId="13" fillId="0" borderId="43" xfId="6" applyNumberFormat="1" applyFont="1" applyFill="1" applyBorder="1" applyAlignment="1" applyProtection="1">
      <alignment horizontal="center" vertical="center"/>
      <protection locked="0"/>
    </xf>
    <xf numFmtId="0" fontId="134" fillId="5" borderId="23" xfId="0" applyFont="1" applyFill="1" applyBorder="1" applyAlignment="1" applyProtection="1">
      <alignment horizontal="center" vertical="center"/>
      <protection locked="0"/>
    </xf>
    <xf numFmtId="0" fontId="134" fillId="5" borderId="24" xfId="0" applyFont="1" applyFill="1" applyBorder="1" applyAlignment="1" applyProtection="1">
      <alignment horizontal="center" vertical="center"/>
      <protection locked="0"/>
    </xf>
    <xf numFmtId="0" fontId="117" fillId="3" borderId="11" xfId="0" applyFont="1" applyFill="1" applyBorder="1" applyAlignment="1" applyProtection="1">
      <alignment horizontal="center" vertical="top"/>
    </xf>
    <xf numFmtId="0" fontId="117" fillId="3" borderId="2" xfId="0" applyFont="1" applyFill="1" applyBorder="1" applyAlignment="1" applyProtection="1">
      <alignment horizontal="center" vertical="top"/>
    </xf>
    <xf numFmtId="0" fontId="0" fillId="3" borderId="2" xfId="0" applyFill="1" applyBorder="1" applyAlignment="1">
      <alignment horizontal="left" vertical="center"/>
    </xf>
    <xf numFmtId="0" fontId="0" fillId="3" borderId="49" xfId="0" applyFill="1" applyBorder="1" applyAlignment="1">
      <alignment horizontal="left" vertical="center"/>
    </xf>
    <xf numFmtId="166" fontId="83" fillId="11" borderId="0" xfId="1" applyNumberFormat="1" applyFont="1" applyFill="1" applyBorder="1" applyAlignment="1" applyProtection="1">
      <alignment horizontal="center" vertical="center"/>
      <protection locked="0"/>
    </xf>
    <xf numFmtId="0" fontId="55" fillId="3" borderId="4" xfId="0" applyFont="1" applyFill="1" applyBorder="1" applyAlignment="1">
      <alignment horizontal="center" vertical="center" wrapText="1"/>
    </xf>
    <xf numFmtId="0" fontId="55" fillId="3" borderId="0" xfId="0" applyFont="1" applyFill="1" applyBorder="1" applyAlignment="1">
      <alignment horizontal="center" vertical="center" wrapText="1"/>
    </xf>
    <xf numFmtId="0" fontId="53" fillId="0" borderId="0" xfId="0" applyFont="1" applyFill="1" applyBorder="1" applyAlignment="1" applyProtection="1">
      <alignment horizontal="center" vertical="center" wrapText="1"/>
      <protection locked="0"/>
    </xf>
    <xf numFmtId="164" fontId="172" fillId="4" borderId="0" xfId="0" applyNumberFormat="1" applyFont="1" applyFill="1" applyBorder="1" applyAlignment="1">
      <alignment horizontal="center" vertical="center"/>
    </xf>
    <xf numFmtId="0" fontId="115" fillId="5" borderId="0" xfId="0" applyFont="1" applyFill="1" applyAlignment="1" applyProtection="1">
      <alignment horizontal="left" vertical="center"/>
    </xf>
    <xf numFmtId="165" fontId="11" fillId="4" borderId="55" xfId="0" applyNumberFormat="1" applyFont="1" applyFill="1" applyBorder="1" applyAlignment="1" applyProtection="1">
      <alignment horizontal="center" vertical="center"/>
    </xf>
    <xf numFmtId="165" fontId="11" fillId="4" borderId="56" xfId="0" applyNumberFormat="1" applyFont="1" applyFill="1" applyBorder="1" applyAlignment="1" applyProtection="1">
      <alignment horizontal="center" vertical="center"/>
    </xf>
    <xf numFmtId="165" fontId="11" fillId="4" borderId="54" xfId="0" applyNumberFormat="1" applyFont="1" applyFill="1" applyBorder="1" applyAlignment="1" applyProtection="1">
      <alignment horizontal="center" vertical="center"/>
    </xf>
    <xf numFmtId="165" fontId="11" fillId="4" borderId="44" xfId="0" applyNumberFormat="1" applyFont="1" applyFill="1" applyBorder="1" applyAlignment="1" applyProtection="1">
      <alignment horizontal="center" vertical="center"/>
    </xf>
    <xf numFmtId="1" fontId="11" fillId="4" borderId="54" xfId="0" applyNumberFormat="1" applyFont="1" applyFill="1" applyBorder="1" applyAlignment="1" applyProtection="1">
      <alignment horizontal="center" vertical="center"/>
    </xf>
    <xf numFmtId="1" fontId="11" fillId="4" borderId="44" xfId="0" applyNumberFormat="1" applyFont="1" applyFill="1" applyBorder="1" applyAlignment="1" applyProtection="1">
      <alignment horizontal="center" vertical="center"/>
    </xf>
    <xf numFmtId="2" fontId="11" fillId="4" borderId="54" xfId="0" applyNumberFormat="1" applyFont="1" applyFill="1" applyBorder="1" applyAlignment="1" applyProtection="1">
      <alignment horizontal="center" vertical="center"/>
    </xf>
    <xf numFmtId="2" fontId="11" fillId="4" borderId="44" xfId="0" applyNumberFormat="1" applyFont="1" applyFill="1" applyBorder="1" applyAlignment="1" applyProtection="1">
      <alignment horizontal="center" vertical="center"/>
    </xf>
    <xf numFmtId="0" fontId="56" fillId="4" borderId="0" xfId="0" applyFont="1" applyFill="1" applyBorder="1" applyAlignment="1">
      <alignment horizontal="left" vertical="center"/>
    </xf>
    <xf numFmtId="1" fontId="140" fillId="11" borderId="23" xfId="6" applyNumberFormat="1" applyFont="1" applyFill="1" applyBorder="1" applyAlignment="1" applyProtection="1">
      <alignment horizontal="center" vertical="center" wrapText="1"/>
      <protection locked="0"/>
    </xf>
    <xf numFmtId="1" fontId="140" fillId="11" borderId="24" xfId="6" applyNumberFormat="1" applyFont="1" applyFill="1" applyBorder="1" applyAlignment="1" applyProtection="1">
      <alignment horizontal="center" vertical="center" wrapText="1"/>
      <protection locked="0"/>
    </xf>
    <xf numFmtId="2" fontId="118" fillId="4" borderId="0" xfId="0" applyNumberFormat="1" applyFont="1" applyFill="1" applyBorder="1" applyAlignment="1">
      <alignment horizontal="center" vertical="center"/>
    </xf>
    <xf numFmtId="1" fontId="118" fillId="4" borderId="0" xfId="0" applyNumberFormat="1" applyFont="1" applyFill="1" applyBorder="1" applyAlignment="1">
      <alignment horizontal="center" vertical="center"/>
    </xf>
    <xf numFmtId="1" fontId="56" fillId="4" borderId="0" xfId="0" applyNumberFormat="1" applyFont="1" applyFill="1" applyBorder="1" applyAlignment="1">
      <alignment horizontal="center" vertical="center"/>
    </xf>
    <xf numFmtId="0" fontId="118" fillId="4" borderId="0" xfId="0" applyFont="1" applyFill="1" applyBorder="1" applyAlignment="1">
      <alignment horizontal="left" vertical="center"/>
    </xf>
    <xf numFmtId="3" fontId="118" fillId="4" borderId="0" xfId="0" applyNumberFormat="1" applyFont="1" applyFill="1" applyBorder="1" applyAlignment="1">
      <alignment horizontal="right" vertical="center"/>
    </xf>
    <xf numFmtId="0" fontId="57" fillId="4" borderId="0" xfId="0" applyFont="1" applyFill="1" applyBorder="1" applyAlignment="1">
      <alignment horizontal="center" vertical="center" wrapText="1"/>
    </xf>
    <xf numFmtId="0" fontId="60" fillId="3" borderId="0" xfId="0" applyFont="1" applyFill="1" applyBorder="1" applyAlignment="1">
      <alignment horizontal="center" vertical="center" wrapText="1"/>
    </xf>
    <xf numFmtId="0" fontId="54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1" fontId="118" fillId="4" borderId="0" xfId="0" applyNumberFormat="1" applyFont="1" applyFill="1" applyBorder="1" applyAlignment="1">
      <alignment horizontal="right" vertical="center"/>
    </xf>
    <xf numFmtId="165" fontId="118" fillId="4" borderId="0" xfId="0" applyNumberFormat="1" applyFont="1" applyFill="1" applyBorder="1" applyAlignment="1">
      <alignment horizontal="center" vertical="center"/>
    </xf>
    <xf numFmtId="165" fontId="127" fillId="4" borderId="0" xfId="0" applyNumberFormat="1" applyFont="1" applyFill="1" applyBorder="1" applyAlignment="1">
      <alignment horizontal="center" vertical="center"/>
    </xf>
    <xf numFmtId="1" fontId="120" fillId="4" borderId="0" xfId="0" applyNumberFormat="1" applyFont="1" applyFill="1" applyBorder="1" applyAlignment="1">
      <alignment horizontal="right" vertical="center"/>
    </xf>
    <xf numFmtId="0" fontId="69" fillId="4" borderId="0" xfId="0" applyFont="1" applyFill="1" applyBorder="1" applyAlignment="1">
      <alignment horizontal="center" vertical="center" wrapText="1"/>
    </xf>
    <xf numFmtId="0" fontId="75" fillId="3" borderId="0" xfId="0" applyFont="1" applyFill="1" applyBorder="1" applyAlignment="1">
      <alignment horizontal="right" vertical="center" wrapText="1"/>
    </xf>
    <xf numFmtId="0" fontId="60" fillId="3" borderId="2" xfId="0" applyFont="1" applyFill="1" applyBorder="1" applyAlignment="1">
      <alignment horizontal="center" vertical="center"/>
    </xf>
    <xf numFmtId="9" fontId="189" fillId="3" borderId="28" xfId="4" applyFont="1" applyFill="1" applyBorder="1" applyAlignment="1">
      <alignment horizontal="center" vertical="center"/>
    </xf>
    <xf numFmtId="0" fontId="120" fillId="4" borderId="0" xfId="0" applyFont="1" applyFill="1" applyBorder="1" applyAlignment="1">
      <alignment horizontal="left" vertical="center"/>
    </xf>
    <xf numFmtId="2" fontId="56" fillId="4" borderId="0" xfId="0" applyNumberFormat="1" applyFont="1" applyFill="1" applyBorder="1" applyAlignment="1">
      <alignment horizontal="center" vertical="center"/>
    </xf>
    <xf numFmtId="0" fontId="21" fillId="4" borderId="54" xfId="0" applyFont="1" applyFill="1" applyBorder="1" applyAlignment="1" applyProtection="1">
      <alignment horizontal="center" vertical="center" wrapText="1"/>
      <protection locked="0"/>
    </xf>
    <xf numFmtId="0" fontId="21" fillId="4" borderId="44" xfId="0" applyFont="1" applyFill="1" applyBorder="1" applyAlignment="1" applyProtection="1">
      <alignment horizontal="center" vertical="center" wrapText="1"/>
      <protection locked="0"/>
    </xf>
    <xf numFmtId="0" fontId="19" fillId="4" borderId="35" xfId="0" applyFont="1" applyFill="1" applyBorder="1" applyAlignment="1" applyProtection="1">
      <alignment horizontal="center" vertical="center"/>
      <protection locked="0"/>
    </xf>
    <xf numFmtId="0" fontId="19" fillId="4" borderId="36" xfId="0" applyFont="1" applyFill="1" applyBorder="1" applyAlignment="1" applyProtection="1">
      <alignment horizontal="center" vertical="center"/>
      <protection locked="0"/>
    </xf>
    <xf numFmtId="164" fontId="119" fillId="4" borderId="0" xfId="1" applyNumberFormat="1" applyFont="1" applyFill="1" applyBorder="1" applyAlignment="1">
      <alignment horizontal="center" vertical="center"/>
    </xf>
    <xf numFmtId="0" fontId="131" fillId="4" borderId="32" xfId="0" applyFont="1" applyFill="1" applyBorder="1" applyAlignment="1" applyProtection="1">
      <alignment horizontal="center" vertical="center"/>
    </xf>
    <xf numFmtId="0" fontId="131" fillId="4" borderId="34" xfId="0" applyFont="1" applyFill="1" applyBorder="1" applyAlignment="1" applyProtection="1">
      <alignment horizontal="center" vertical="center"/>
    </xf>
    <xf numFmtId="0" fontId="87" fillId="4" borderId="35" xfId="0" applyFont="1" applyFill="1" applyBorder="1" applyAlignment="1">
      <alignment horizontal="center" vertical="center"/>
    </xf>
    <xf numFmtId="0" fontId="87" fillId="4" borderId="36" xfId="0" applyFont="1" applyFill="1" applyBorder="1" applyAlignment="1">
      <alignment horizontal="center" vertical="center"/>
    </xf>
    <xf numFmtId="0" fontId="132" fillId="3" borderId="0" xfId="0" applyFont="1" applyFill="1" applyAlignment="1">
      <alignment horizontal="center" vertical="center" wrapText="1"/>
    </xf>
    <xf numFmtId="0" fontId="19" fillId="4" borderId="54" xfId="0" applyFont="1" applyFill="1" applyBorder="1" applyAlignment="1" applyProtection="1">
      <alignment horizontal="center" vertical="center"/>
      <protection locked="0"/>
    </xf>
    <xf numFmtId="0" fontId="19" fillId="4" borderId="44" xfId="0" applyFont="1" applyFill="1" applyBorder="1" applyAlignment="1" applyProtection="1">
      <alignment horizontal="center" vertical="center"/>
      <protection locked="0"/>
    </xf>
    <xf numFmtId="0" fontId="68" fillId="0" borderId="0" xfId="0" applyFont="1" applyFill="1" applyBorder="1" applyAlignment="1" applyProtection="1">
      <alignment horizontal="left" vertical="center" wrapText="1"/>
      <protection locked="0"/>
    </xf>
    <xf numFmtId="0" fontId="60" fillId="11" borderId="0" xfId="0" applyFont="1" applyFill="1" applyBorder="1" applyAlignment="1" applyProtection="1">
      <alignment horizontal="right" vertical="center"/>
      <protection locked="0"/>
    </xf>
    <xf numFmtId="0" fontId="54" fillId="3" borderId="0" xfId="0" applyFont="1" applyFill="1" applyAlignment="1">
      <alignment horizontal="left" vertical="top" wrapText="1"/>
    </xf>
    <xf numFmtId="0" fontId="0" fillId="0" borderId="7" xfId="0" applyFill="1" applyBorder="1" applyAlignment="1" applyProtection="1">
      <alignment horizontal="center" vertical="center"/>
      <protection locked="0"/>
    </xf>
    <xf numFmtId="165" fontId="0" fillId="0" borderId="0" xfId="0" applyNumberFormat="1" applyFill="1" applyBorder="1" applyAlignment="1" applyProtection="1">
      <alignment horizontal="center" vertical="center"/>
      <protection locked="0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1" fontId="0" fillId="0" borderId="3" xfId="0" applyNumberFormat="1" applyFill="1" applyBorder="1" applyAlignment="1" applyProtection="1">
      <alignment horizontal="center" vertical="center"/>
      <protection locked="0"/>
    </xf>
    <xf numFmtId="1" fontId="0" fillId="0" borderId="6" xfId="0" applyNumberFormat="1" applyFill="1" applyBorder="1" applyAlignment="1" applyProtection="1">
      <alignment horizontal="center" vertical="center"/>
      <protection locked="0"/>
    </xf>
    <xf numFmtId="1" fontId="0" fillId="0" borderId="8" xfId="0" applyNumberFormat="1" applyFill="1" applyBorder="1" applyAlignment="1" applyProtection="1">
      <alignment horizontal="center" vertical="center"/>
      <protection locked="0"/>
    </xf>
    <xf numFmtId="1" fontId="124" fillId="4" borderId="0" xfId="0" applyNumberFormat="1" applyFont="1" applyFill="1" applyBorder="1" applyAlignment="1">
      <alignment horizontal="right" vertical="center" wrapText="1"/>
    </xf>
    <xf numFmtId="0" fontId="124" fillId="4" borderId="0" xfId="0" applyFont="1" applyFill="1" applyBorder="1" applyAlignment="1">
      <alignment horizontal="left" vertical="center"/>
    </xf>
    <xf numFmtId="0" fontId="104" fillId="3" borderId="0" xfId="0" applyFont="1" applyFill="1" applyBorder="1" applyAlignment="1">
      <alignment horizontal="center" vertical="center" wrapText="1"/>
    </xf>
    <xf numFmtId="0" fontId="104" fillId="3" borderId="5" xfId="0" applyFont="1" applyFill="1" applyBorder="1" applyAlignment="1">
      <alignment horizontal="center" vertical="center" wrapText="1"/>
    </xf>
    <xf numFmtId="0" fontId="104" fillId="3" borderId="7" xfId="0" applyFont="1" applyFill="1" applyBorder="1" applyAlignment="1">
      <alignment horizontal="center" vertical="center" wrapText="1"/>
    </xf>
    <xf numFmtId="0" fontId="104" fillId="3" borderId="8" xfId="0" applyFont="1" applyFill="1" applyBorder="1" applyAlignment="1">
      <alignment horizontal="center" vertical="center" wrapText="1"/>
    </xf>
    <xf numFmtId="0" fontId="53" fillId="11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57" fillId="3" borderId="0" xfId="0" applyFont="1" applyFill="1" applyAlignment="1">
      <alignment horizontal="center" vertical="center" wrapText="1"/>
    </xf>
    <xf numFmtId="0" fontId="121" fillId="3" borderId="0" xfId="0" applyFont="1" applyFill="1" applyBorder="1" applyAlignment="1">
      <alignment horizontal="left" vertical="center" wrapText="1"/>
    </xf>
    <xf numFmtId="0" fontId="54" fillId="3" borderId="0" xfId="0" applyFont="1" applyFill="1" applyBorder="1" applyAlignment="1">
      <alignment horizontal="left" vertical="center" wrapText="1"/>
    </xf>
    <xf numFmtId="0" fontId="54" fillId="3" borderId="7" xfId="0" applyFont="1" applyFill="1" applyBorder="1" applyAlignment="1">
      <alignment horizontal="left" vertical="center" wrapText="1"/>
    </xf>
    <xf numFmtId="0" fontId="82" fillId="3" borderId="0" xfId="0" applyFont="1" applyFill="1" applyBorder="1" applyAlignment="1">
      <alignment horizontal="center" vertical="top" wrapText="1"/>
    </xf>
    <xf numFmtId="0" fontId="83" fillId="4" borderId="0" xfId="0" applyFont="1" applyFill="1" applyBorder="1" applyAlignment="1">
      <alignment horizontal="center" vertical="center" wrapText="1"/>
    </xf>
    <xf numFmtId="0" fontId="112" fillId="3" borderId="0" xfId="0" applyFont="1" applyFill="1" applyBorder="1" applyAlignment="1">
      <alignment horizontal="center" vertical="top" wrapText="1"/>
    </xf>
    <xf numFmtId="0" fontId="192" fillId="0" borderId="0" xfId="0" applyFont="1" applyFill="1" applyAlignment="1">
      <alignment horizontal="center"/>
    </xf>
    <xf numFmtId="0" fontId="136" fillId="3" borderId="0" xfId="0" applyFont="1" applyFill="1" applyAlignment="1">
      <alignment horizontal="center" wrapText="1"/>
    </xf>
    <xf numFmtId="0" fontId="83" fillId="3" borderId="9" xfId="0" applyFont="1" applyFill="1" applyBorder="1" applyAlignment="1">
      <alignment horizontal="center" vertical="top" wrapText="1"/>
    </xf>
    <xf numFmtId="0" fontId="83" fillId="3" borderId="2" xfId="0" applyFont="1" applyFill="1" applyBorder="1" applyAlignment="1">
      <alignment horizontal="center" vertical="top" wrapText="1"/>
    </xf>
    <xf numFmtId="0" fontId="83" fillId="3" borderId="4" xfId="0" applyFont="1" applyFill="1" applyBorder="1" applyAlignment="1">
      <alignment horizontal="center" vertical="top" wrapText="1"/>
    </xf>
    <xf numFmtId="0" fontId="83" fillId="3" borderId="0" xfId="0" applyFont="1" applyFill="1" applyBorder="1" applyAlignment="1">
      <alignment horizontal="center" vertical="top" wrapText="1"/>
    </xf>
    <xf numFmtId="0" fontId="60" fillId="4" borderId="0" xfId="0" applyFont="1" applyFill="1" applyBorder="1" applyAlignment="1">
      <alignment horizontal="center" vertical="center"/>
    </xf>
    <xf numFmtId="0" fontId="63" fillId="3" borderId="49" xfId="0" applyFont="1" applyFill="1" applyBorder="1" applyAlignment="1">
      <alignment horizontal="center" vertical="top"/>
    </xf>
    <xf numFmtId="0" fontId="138" fillId="3" borderId="0" xfId="0" applyFont="1" applyFill="1" applyBorder="1" applyAlignment="1" applyProtection="1">
      <alignment horizontal="center" vertical="top"/>
    </xf>
    <xf numFmtId="0" fontId="37" fillId="3" borderId="0" xfId="0" applyFont="1" applyFill="1" applyBorder="1" applyAlignment="1" applyProtection="1">
      <alignment horizontal="center" vertical="top"/>
    </xf>
    <xf numFmtId="0" fontId="37" fillId="3" borderId="7" xfId="0" applyFont="1" applyFill="1" applyBorder="1" applyAlignment="1" applyProtection="1">
      <alignment horizontal="center" vertical="top"/>
    </xf>
    <xf numFmtId="0" fontId="57" fillId="3" borderId="57" xfId="0" applyNumberFormat="1" applyFont="1" applyFill="1" applyBorder="1" applyAlignment="1">
      <alignment horizontal="center" vertical="center" wrapText="1"/>
    </xf>
    <xf numFmtId="0" fontId="63" fillId="3" borderId="0" xfId="0" applyFont="1" applyFill="1" applyBorder="1" applyAlignment="1">
      <alignment horizontal="center" vertical="top"/>
    </xf>
    <xf numFmtId="0" fontId="150" fillId="3" borderId="10" xfId="0" applyFont="1" applyFill="1" applyBorder="1" applyAlignment="1" applyProtection="1">
      <alignment horizontal="center" vertical="top"/>
    </xf>
    <xf numFmtId="0" fontId="59" fillId="3" borderId="0" xfId="0" applyFont="1" applyFill="1" applyAlignment="1">
      <alignment horizontal="left"/>
    </xf>
    <xf numFmtId="0" fontId="141" fillId="3" borderId="0" xfId="0" applyFont="1" applyFill="1" applyBorder="1" applyAlignment="1">
      <alignment horizontal="center"/>
    </xf>
    <xf numFmtId="0" fontId="74" fillId="3" borderId="0" xfId="0" applyFont="1" applyFill="1" applyAlignment="1">
      <alignment horizontal="center"/>
    </xf>
    <xf numFmtId="0" fontId="115" fillId="13" borderId="0" xfId="0" applyFont="1" applyFill="1" applyAlignment="1">
      <alignment horizontal="center" vertical="center" wrapText="1"/>
    </xf>
    <xf numFmtId="0" fontId="73" fillId="3" borderId="0" xfId="0" applyFont="1" applyFill="1" applyAlignment="1">
      <alignment horizontal="center" vertical="center" wrapText="1"/>
    </xf>
    <xf numFmtId="0" fontId="73" fillId="3" borderId="0" xfId="0" applyFont="1" applyFill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 wrapText="1"/>
    </xf>
    <xf numFmtId="0" fontId="74" fillId="3" borderId="0" xfId="0" applyFont="1" applyFill="1" applyAlignment="1">
      <alignment horizontal="center" vertical="top" wrapText="1"/>
    </xf>
    <xf numFmtId="165" fontId="146" fillId="3" borderId="2" xfId="0" applyNumberFormat="1" applyFont="1" applyFill="1" applyBorder="1" applyAlignment="1">
      <alignment horizontal="right" vertical="center"/>
    </xf>
    <xf numFmtId="165" fontId="146" fillId="3" borderId="0" xfId="0" applyNumberFormat="1" applyFont="1" applyFill="1" applyBorder="1" applyAlignment="1">
      <alignment horizontal="right" vertical="center"/>
    </xf>
    <xf numFmtId="0" fontId="147" fillId="3" borderId="3" xfId="0" applyFont="1" applyFill="1" applyBorder="1" applyAlignment="1">
      <alignment horizontal="left" vertical="center"/>
    </xf>
    <xf numFmtId="0" fontId="147" fillId="3" borderId="5" xfId="0" applyFont="1" applyFill="1" applyBorder="1" applyAlignment="1">
      <alignment horizontal="left" vertical="center"/>
    </xf>
    <xf numFmtId="0" fontId="145" fillId="3" borderId="4" xfId="0" applyFont="1" applyFill="1" applyBorder="1" applyAlignment="1">
      <alignment horizontal="left" vertical="center"/>
    </xf>
    <xf numFmtId="0" fontId="145" fillId="3" borderId="0" xfId="0" applyFont="1" applyFill="1" applyBorder="1" applyAlignment="1">
      <alignment horizontal="left" vertical="center"/>
    </xf>
    <xf numFmtId="9" fontId="105" fillId="3" borderId="0" xfId="4" applyFont="1" applyFill="1" applyBorder="1" applyAlignment="1">
      <alignment horizontal="right" vertical="center"/>
    </xf>
    <xf numFmtId="0" fontId="69" fillId="3" borderId="4" xfId="0" applyFont="1" applyFill="1" applyBorder="1" applyAlignment="1">
      <alignment horizontal="left" vertical="center"/>
    </xf>
    <xf numFmtId="0" fontId="69" fillId="3" borderId="0" xfId="0" applyFont="1" applyFill="1" applyBorder="1" applyAlignment="1">
      <alignment horizontal="left" vertical="center"/>
    </xf>
    <xf numFmtId="0" fontId="146" fillId="3" borderId="4" xfId="0" applyFont="1" applyFill="1" applyBorder="1" applyAlignment="1">
      <alignment horizontal="left" wrapText="1"/>
    </xf>
    <xf numFmtId="0" fontId="146" fillId="3" borderId="0" xfId="0" applyFont="1" applyFill="1" applyBorder="1" applyAlignment="1">
      <alignment horizontal="left" wrapText="1"/>
    </xf>
    <xf numFmtId="0" fontId="150" fillId="3" borderId="11" xfId="0" applyFont="1" applyFill="1" applyBorder="1" applyAlignment="1" applyProtection="1">
      <alignment horizontal="center" vertical="top"/>
    </xf>
    <xf numFmtId="0" fontId="150" fillId="3" borderId="12" xfId="0" applyFont="1" applyFill="1" applyBorder="1" applyAlignment="1" applyProtection="1">
      <alignment horizontal="center" vertical="top"/>
    </xf>
    <xf numFmtId="0" fontId="126" fillId="3" borderId="4" xfId="0" applyFont="1" applyFill="1" applyBorder="1" applyAlignment="1">
      <alignment horizontal="left" vertical="center"/>
    </xf>
    <xf numFmtId="0" fontId="126" fillId="3" borderId="0" xfId="0" applyFont="1" applyFill="1" applyBorder="1" applyAlignment="1">
      <alignment horizontal="left" vertical="center"/>
    </xf>
    <xf numFmtId="1" fontId="54" fillId="3" borderId="0" xfId="0" applyNumberFormat="1" applyFont="1" applyFill="1" applyBorder="1" applyAlignment="1">
      <alignment horizontal="right" vertical="center"/>
    </xf>
    <xf numFmtId="1" fontId="54" fillId="3" borderId="0" xfId="0" applyNumberFormat="1" applyFont="1" applyFill="1" applyBorder="1" applyAlignment="1">
      <alignment vertical="center"/>
    </xf>
    <xf numFmtId="0" fontId="87" fillId="3" borderId="0" xfId="0" applyFont="1" applyFill="1" applyBorder="1" applyAlignment="1" applyProtection="1">
      <alignment horizontal="right" vertical="center"/>
      <protection locked="0"/>
    </xf>
    <xf numFmtId="0" fontId="87" fillId="3" borderId="5" xfId="0" applyFont="1" applyFill="1" applyBorder="1" applyAlignment="1">
      <alignment horizontal="left" vertical="center"/>
    </xf>
  </cellXfs>
  <cellStyles count="9">
    <cellStyle name="Currency" xfId="1" builtinId="4"/>
    <cellStyle name="Monétaire 2" xfId="2"/>
    <cellStyle name="Monétaire 2 2" xfId="3"/>
    <cellStyle name="Normal" xfId="0" builtinId="0"/>
    <cellStyle name="Percent" xfId="4" builtinId="5"/>
    <cellStyle name="Pourcentage 2" xfId="5"/>
    <cellStyle name="Pourcentage 3" xfId="6"/>
    <cellStyle name="Pourcentage 3 2" xfId="7"/>
    <cellStyle name="ارتباط تشعبي" xfId="8" builtinId="8"/>
  </cellStyles>
  <dxfs count="1">
    <dxf>
      <font>
        <condense val="0"/>
        <extend val="0"/>
        <color rgb="FF9C0006"/>
      </font>
    </dxf>
  </dxfs>
  <tableStyles count="0" defaultTableStyle="TableStyleMedium9" defaultPivotStyle="PivotStyleLight16"/>
  <colors>
    <mruColors>
      <color rgb="FFFFFF99"/>
      <color rgb="FFECF11B"/>
      <color rgb="FFF446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(ANIMAL!$S$6,ANIMAL!$U$6)</c:f>
              <c:numCache>
                <c:formatCode>0%</c:formatCode>
                <c:ptCount val="2"/>
                <c:pt idx="0">
                  <c:v>0.29946051533080331</c:v>
                </c:pt>
                <c:pt idx="1">
                  <c:v>0.58560864854561845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A-4094-9484-C43FC9F81A3E}"/>
            </c:ext>
          </c:extLst>
        </c:ser>
        <c:ser>
          <c:idx val="1"/>
          <c:order val="1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(ANIMAL!$S$7,ANIMAL!$U$7)</c:f>
              <c:numCache>
                <c:formatCode>0%</c:formatCode>
                <c:ptCount val="2"/>
                <c:pt idx="0">
                  <c:v>0.70053948466919669</c:v>
                </c:pt>
                <c:pt idx="1">
                  <c:v>0.41439135145438155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A-4094-9484-C43FC9F81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296707568"/>
        <c:axId val="296707008"/>
      </c:barChart>
      <c:catAx>
        <c:axId val="296707568"/>
        <c:scaling>
          <c:orientation val="minMax"/>
        </c:scaling>
        <c:delete val="1"/>
        <c:axPos val="b"/>
        <c:majorTickMark val="none"/>
        <c:minorTickMark val="none"/>
        <c:tickLblPos val="nextTo"/>
        <c:crossAx val="296707008"/>
        <c:crosses val="autoZero"/>
        <c:auto val="1"/>
        <c:lblAlgn val="ctr"/>
        <c:lblOffset val="100"/>
        <c:noMultiLvlLbl val="0"/>
      </c:catAx>
      <c:valAx>
        <c:axId val="2967070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9670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FOURRAGE!$V$7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6-4226-A42B-E077FC955B94}"/>
            </c:ext>
          </c:extLst>
        </c:ser>
        <c:ser>
          <c:idx val="1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FOURRAGE!$V$8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6-4226-A42B-E077FC955B94}"/>
            </c:ext>
          </c:extLst>
        </c:ser>
        <c:ser>
          <c:idx val="2"/>
          <c:order val="2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FOURRAGE!$V$9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6-4226-A42B-E077FC955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702528"/>
        <c:axId val="309328528"/>
      </c:barChart>
      <c:catAx>
        <c:axId val="296702528"/>
        <c:scaling>
          <c:orientation val="minMax"/>
        </c:scaling>
        <c:delete val="1"/>
        <c:axPos val="t"/>
        <c:majorTickMark val="none"/>
        <c:minorTickMark val="none"/>
        <c:tickLblPos val="nextTo"/>
        <c:crossAx val="309328528"/>
        <c:crosses val="autoZero"/>
        <c:auto val="1"/>
        <c:lblAlgn val="ctr"/>
        <c:lblOffset val="100"/>
        <c:noMultiLvlLbl val="0"/>
      </c:catAx>
      <c:valAx>
        <c:axId val="309328528"/>
        <c:scaling>
          <c:orientation val="maxMin"/>
        </c:scaling>
        <c:delete val="1"/>
        <c:axPos val="l"/>
        <c:numFmt formatCode="0%" sourceLinked="1"/>
        <c:majorTickMark val="none"/>
        <c:minorTickMark val="none"/>
        <c:tickLblPos val="nextTo"/>
        <c:crossAx val="2967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CONCENTRE!$T$7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4-47C8-8C3E-C7AFB63F01A2}"/>
            </c:ext>
          </c:extLst>
        </c:ser>
        <c:ser>
          <c:idx val="1"/>
          <c:order val="1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CONCENTRE!$T$8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4-47C8-8C3E-C7AFB63F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333568"/>
        <c:axId val="309334128"/>
      </c:barChart>
      <c:catAx>
        <c:axId val="309333568"/>
        <c:scaling>
          <c:orientation val="minMax"/>
        </c:scaling>
        <c:delete val="1"/>
        <c:axPos val="r"/>
        <c:majorTickMark val="none"/>
        <c:minorTickMark val="none"/>
        <c:tickLblPos val="nextTo"/>
        <c:crossAx val="309334128"/>
        <c:crosses val="autoZero"/>
        <c:auto val="1"/>
        <c:lblAlgn val="ctr"/>
        <c:lblOffset val="100"/>
        <c:noMultiLvlLbl val="0"/>
      </c:catAx>
      <c:valAx>
        <c:axId val="309334128"/>
        <c:scaling>
          <c:orientation val="maxMin"/>
        </c:scaling>
        <c:delete val="1"/>
        <c:axPos val="b"/>
        <c:numFmt formatCode="0%" sourceLinked="1"/>
        <c:majorTickMark val="none"/>
        <c:minorTickMark val="none"/>
        <c:tickLblPos val="nextTo"/>
        <c:crossAx val="30933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CONCENTRE!$S$9:$T$9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8-431B-9EA2-F03137DF977F}"/>
            </c:ext>
          </c:extLst>
        </c:ser>
        <c:ser>
          <c:idx val="1"/>
          <c:order val="1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0765936667997225E-3"/>
                  <c:y val="3.11763480999135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65173599135006"/>
                      <c:h val="0.10340397460973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0E8-431B-9EA2-F03137DF977F}"/>
                </c:ext>
              </c:extLst>
            </c:dLbl>
            <c:dLbl>
              <c:idx val="1"/>
              <c:layout>
                <c:manualLayout>
                  <c:x val="0"/>
                  <c:y val="3.4315023397348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19508055046369"/>
                      <c:h val="0.10340397460973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0E8-431B-9EA2-F03137DF9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CONCENTRE!$S$10:$T$10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E8-431B-9EA2-F03137DF9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309336928"/>
        <c:axId val="309337488"/>
      </c:barChart>
      <c:catAx>
        <c:axId val="309336928"/>
        <c:scaling>
          <c:orientation val="minMax"/>
        </c:scaling>
        <c:delete val="1"/>
        <c:axPos val="t"/>
        <c:majorTickMark val="none"/>
        <c:minorTickMark val="none"/>
        <c:tickLblPos val="nextTo"/>
        <c:crossAx val="309337488"/>
        <c:crosses val="autoZero"/>
        <c:auto val="1"/>
        <c:lblAlgn val="ctr"/>
        <c:lblOffset val="100"/>
        <c:noMultiLvlLbl val="0"/>
      </c:catAx>
      <c:valAx>
        <c:axId val="309337488"/>
        <c:scaling>
          <c:orientation val="maxMin"/>
        </c:scaling>
        <c:delete val="1"/>
        <c:axPos val="l"/>
        <c:numFmt formatCode="0%" sourceLinked="1"/>
        <c:majorTickMark val="none"/>
        <c:minorTickMark val="none"/>
        <c:tickLblPos val="nextTo"/>
        <c:crossAx val="3093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B0-4A05-A81A-A1DB78B471F7}"/>
                </c:ext>
              </c:extLst>
            </c:dLbl>
            <c:dLbl>
              <c:idx val="1"/>
              <c:layout>
                <c:manualLayout>
                  <c:x val="6.2272394903280194E-3"/>
                  <c:y val="0.38333699205504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18197392149383"/>
                      <c:h val="0.216992094683423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1B0-4A05-A81A-A1DB78B471F7}"/>
                </c:ext>
              </c:extLst>
            </c:dLbl>
            <c:dLbl>
              <c:idx val="2"/>
              <c:layout>
                <c:manualLayout>
                  <c:x val="0"/>
                  <c:y val="0.169919955758373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7242863647611"/>
                      <c:h val="0.14531302883188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1B0-4A05-A81A-A1DB78B471F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B0-4A05-A81A-A1DB78B47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CMV!$T$10:$V$10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B0-4A05-A81A-A1DB78B47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09341408"/>
        <c:axId val="30934196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CMV!$T$11:$V$11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B0-4A05-A81A-A1DB78B47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341408"/>
        <c:axId val="309341968"/>
      </c:lineChart>
      <c:catAx>
        <c:axId val="309341408"/>
        <c:scaling>
          <c:orientation val="minMax"/>
        </c:scaling>
        <c:delete val="1"/>
        <c:axPos val="b"/>
        <c:majorTickMark val="none"/>
        <c:minorTickMark val="none"/>
        <c:tickLblPos val="nextTo"/>
        <c:crossAx val="309341968"/>
        <c:crosses val="autoZero"/>
        <c:auto val="1"/>
        <c:lblAlgn val="ctr"/>
        <c:lblOffset val="100"/>
        <c:noMultiLvlLbl val="0"/>
      </c:catAx>
      <c:valAx>
        <c:axId val="3093419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093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66-43DB-AD53-BC571022C145}"/>
                </c:ext>
              </c:extLst>
            </c:dLbl>
            <c:dLbl>
              <c:idx val="1"/>
              <c:layout>
                <c:manualLayout>
                  <c:x val="-1.0754704617302986E-16"/>
                  <c:y val="0.295310596672206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978754863345926"/>
                      <c:h val="0.249537454188014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766-43DB-AD53-BC571022C145}"/>
                </c:ext>
              </c:extLst>
            </c:dLbl>
            <c:dLbl>
              <c:idx val="2"/>
              <c:layout>
                <c:manualLayout>
                  <c:x val="2.1441555933406648E-3"/>
                  <c:y val="0.282670456803725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9978458841526"/>
                      <c:h val="0.189052693609920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766-43DB-AD53-BC571022C1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CMV!$V$13:$X$13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66-43DB-AD53-BC571022C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09344768"/>
        <c:axId val="309345328"/>
      </c:barChart>
      <c:lineChart>
        <c:grouping val="percentStacked"/>
        <c:varyColors val="0"/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CMV!$V$14:$X$14</c:f>
              <c:numCache>
                <c:formatCode>0%</c:formatCode>
                <c:ptCount val="3"/>
                <c:pt idx="0" formatCode="General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66-43DB-AD53-BC571022C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344768"/>
        <c:axId val="309345328"/>
      </c:lineChart>
      <c:catAx>
        <c:axId val="309344768"/>
        <c:scaling>
          <c:orientation val="minMax"/>
        </c:scaling>
        <c:delete val="1"/>
        <c:axPos val="b"/>
        <c:majorTickMark val="none"/>
        <c:minorTickMark val="none"/>
        <c:tickLblPos val="nextTo"/>
        <c:crossAx val="309345328"/>
        <c:crosses val="autoZero"/>
        <c:auto val="1"/>
        <c:lblAlgn val="ctr"/>
        <c:lblOffset val="100"/>
        <c:noMultiLvlLbl val="0"/>
      </c:catAx>
      <c:valAx>
        <c:axId val="309345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934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119090365050867E-2"/>
          <c:y val="6.453988162946415E-3"/>
          <c:w val="0.939307004622016"/>
          <c:h val="0.99354601726380654"/>
        </c:manualLayout>
      </c:layout>
      <c:pie3DChart>
        <c:varyColors val="1"/>
        <c:ser>
          <c:idx val="0"/>
          <c:order val="0"/>
          <c:explosion val="14"/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shade val="53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53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5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910-4CAB-A098-911A5C33FD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910-4CAB-A098-911A5C33FD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910-4CAB-A098-911A5C33FD5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3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910-4CAB-A098-911A5C33FD5B}"/>
              </c:ext>
            </c:extLst>
          </c:dPt>
          <c:dLbls>
            <c:dLbl>
              <c:idx val="0"/>
              <c:layout>
                <c:manualLayout>
                  <c:x val="-2.9976487325805493E-2"/>
                  <c:y val="0.5131500751499906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427E25-CF7C-4DAD-B260-C3ABE5F5FF21}" type="CATEGORYNAME">
                      <a:rPr lang="en-US" sz="140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[اسم الفئة]</a:t>
                    </a:fld>
                    <a:r>
                      <a:rPr lang="en-US" sz="1400" baseline="0">
                        <a:solidFill>
                          <a:schemeClr val="bg1"/>
                        </a:solidFill>
                      </a:rPr>
                      <a:t>
</a:t>
                    </a:r>
                    <a:fld id="{0F6E0D4E-2951-4654-B0F2-3421C77CEF74}" type="PERCENTAGE">
                      <a:rPr lang="en-US" sz="1400" baseline="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[النسبة المئوية]</a:t>
                    </a:fld>
                    <a:endParaRPr lang="en-US" sz="14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48459337671314"/>
                      <c:h val="0.2361241290984262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910-4CAB-A098-911A5C33FD5B}"/>
                </c:ext>
              </c:extLst>
            </c:dLbl>
            <c:dLbl>
              <c:idx val="1"/>
              <c:layout>
                <c:manualLayout>
                  <c:x val="-0.59052307155812156"/>
                  <c:y val="0.1961639923375360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427E25-CF7C-4DAD-B260-C3ABE5F5FF21}" type="CATEGORYNAME">
                      <a:rPr lang="en-US" sz="140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[اسم الفئة]</a:t>
                    </a:fld>
                    <a:r>
                      <a:rPr lang="en-US" sz="1400" baseline="0">
                        <a:solidFill>
                          <a:schemeClr val="bg1"/>
                        </a:solidFill>
                      </a:rPr>
                      <a:t>
</a:t>
                    </a:r>
                    <a:fld id="{0F6E0D4E-2951-4654-B0F2-3421C77CEF74}" type="PERCENTAGE">
                      <a:rPr lang="en-US" sz="1400" baseline="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[النسبة المئوية]</a:t>
                    </a:fld>
                    <a:endParaRPr lang="en-US" sz="14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85984929408266"/>
                      <c:h val="0.2473865427973375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910-4CAB-A098-911A5C33FD5B}"/>
                </c:ext>
              </c:extLst>
            </c:dLbl>
            <c:dLbl>
              <c:idx val="2"/>
              <c:layout>
                <c:manualLayout>
                  <c:x val="4.4207752341600424E-2"/>
                  <c:y val="-0.477134815681127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427E25-CF7C-4DAD-B260-C3ABE5F5FF21}" type="CATEGORYNAME">
                      <a:rPr lang="en-US" sz="140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[اسم الفئة]</a:t>
                    </a:fld>
                    <a:r>
                      <a:rPr lang="en-US" sz="1400" baseline="0">
                        <a:solidFill>
                          <a:schemeClr val="bg1"/>
                        </a:solidFill>
                      </a:rPr>
                      <a:t>
</a:t>
                    </a:r>
                    <a:fld id="{0F6E0D4E-2951-4654-B0F2-3421C77CEF74}" type="PERCENTAGE">
                      <a:rPr lang="en-US" sz="1400" baseline="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[النسبة المئوية]</a:t>
                    </a:fld>
                    <a:endParaRPr lang="en-US" sz="14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49825030715929"/>
                      <c:h val="0.2696385078535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910-4CAB-A098-911A5C33FD5B}"/>
                </c:ext>
              </c:extLst>
            </c:dLbl>
            <c:dLbl>
              <c:idx val="3"/>
              <c:layout>
                <c:manualLayout>
                  <c:x val="0.38292847934746455"/>
                  <c:y val="2.40077866819921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427E25-CF7C-4DAD-B260-C3ABE5F5FF21}" type="CATEGORYNAME">
                      <a:rPr lang="en-US" sz="140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[اسم الفئة]</a:t>
                    </a:fld>
                    <a:r>
                      <a:rPr lang="en-US" sz="1400" baseline="0">
                        <a:solidFill>
                          <a:schemeClr val="bg1"/>
                        </a:solidFill>
                      </a:rPr>
                      <a:t>
</a:t>
                    </a:r>
                    <a:fld id="{0F6E0D4E-2951-4654-B0F2-3421C77CEF74}" type="PERCENTAGE">
                      <a:rPr lang="en-US" sz="1400" baseline="0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[النسبة المئوية]</a:t>
                    </a:fld>
                    <a:endParaRPr lang="en-US" sz="14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40540621782684"/>
                      <c:h val="0.2590668905139339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910-4CAB-A098-911A5C33FD5B}"/>
                </c:ext>
              </c:extLst>
            </c:dLbl>
            <c:dLbl>
              <c:idx val="4"/>
              <c:layout>
                <c:manualLayout>
                  <c:x val="0.22487638568424884"/>
                  <c:y val="-8.2088480198716424E-2"/>
                </c:manualLayout>
              </c:layout>
              <c:tx>
                <c:rich>
                  <a:bodyPr/>
                  <a:lstStyle/>
                  <a:p>
                    <a:fld id="{16427E25-CF7C-4DAD-B260-C3ABE5F5FF21}" type="CATEGORYNAME">
                      <a:rPr lang="en-US" sz="1400"/>
                      <a:pPr/>
                      <a:t>[اسم الفئة]</a:t>
                    </a:fld>
                    <a:r>
                      <a:rPr lang="en-US" sz="1400" baseline="0"/>
                      <a:t>
</a:t>
                    </a:r>
                    <a:fld id="{0F6E0D4E-2951-4654-B0F2-3421C77CEF74}" type="PERCENTAGE">
                      <a:rPr lang="en-US" sz="1400" baseline="0"/>
                      <a:pPr/>
                      <a:t>[النسبة المئوية]</a:t>
                    </a:fld>
                    <a:endParaRPr lang="en-US" sz="14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7910-4CAB-A098-911A5C33FD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RATION!$T$18:$T$21</c:f>
              <c:strCache>
                <c:ptCount val="4"/>
                <c:pt idx="0">
                  <c:v>Fourrage 1</c:v>
                </c:pt>
                <c:pt idx="1">
                  <c:v>Fourrage 2</c:v>
                </c:pt>
                <c:pt idx="2">
                  <c:v>Concentré 1</c:v>
                </c:pt>
                <c:pt idx="3">
                  <c:v>Concentré 2</c:v>
                </c:pt>
              </c:strCache>
            </c:strRef>
          </c:cat>
          <c:val>
            <c:numRef>
              <c:f>RATION!$U$18:$U$21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10-4CAB-A098-911A5C33FD5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RATION!$T$6:$X$6</c:f>
              <c:strCache>
                <c:ptCount val="5"/>
                <c:pt idx="0">
                  <c:v>UFL</c:v>
                </c:pt>
                <c:pt idx="1">
                  <c:v>PDIN</c:v>
                </c:pt>
                <c:pt idx="2">
                  <c:v>PDIE</c:v>
                </c:pt>
                <c:pt idx="3">
                  <c:v>P</c:v>
                </c:pt>
                <c:pt idx="4">
                  <c:v>Ca</c:v>
                </c:pt>
              </c:strCache>
            </c:strRef>
          </c:cat>
          <c:val>
            <c:numRef>
              <c:f>RATION!$T$7:$X$7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8-4168-BD23-C28EBC5DD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353168"/>
        <c:axId val="30935372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RATION!$T$6:$X$6</c:f>
              <c:strCache>
                <c:ptCount val="5"/>
                <c:pt idx="0">
                  <c:v>UFL</c:v>
                </c:pt>
                <c:pt idx="1">
                  <c:v>PDIN</c:v>
                </c:pt>
                <c:pt idx="2">
                  <c:v>PDIE</c:v>
                </c:pt>
                <c:pt idx="3">
                  <c:v>P</c:v>
                </c:pt>
                <c:pt idx="4">
                  <c:v>Ca</c:v>
                </c:pt>
              </c:strCache>
            </c:strRef>
          </c:cat>
          <c:val>
            <c:numRef>
              <c:f>RATION!$T$8:$X$8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8-4168-BD23-C28EBC5DD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353168"/>
        <c:axId val="309353728"/>
      </c:lineChart>
      <c:catAx>
        <c:axId val="3093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53728"/>
        <c:crosses val="autoZero"/>
        <c:auto val="1"/>
        <c:lblAlgn val="ctr"/>
        <c:lblOffset val="100"/>
        <c:noMultiLvlLbl val="0"/>
      </c:catAx>
      <c:valAx>
        <c:axId val="3093537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0935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(RATION!$V$18,RATION!$X$18,RATION!$Z$18)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0-434A-B5F4-1B659101371D}"/>
            </c:ext>
          </c:extLst>
        </c:ser>
        <c:ser>
          <c:idx val="1"/>
          <c:order val="1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(RATION!$V$19,RATION!$X$19,RATION!$Z$19)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0-434A-B5F4-1B6591013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100"/>
        <c:axId val="309356528"/>
        <c:axId val="309357088"/>
      </c:barChart>
      <c:catAx>
        <c:axId val="309356528"/>
        <c:scaling>
          <c:orientation val="minMax"/>
        </c:scaling>
        <c:delete val="1"/>
        <c:axPos val="b"/>
        <c:majorTickMark val="none"/>
        <c:minorTickMark val="none"/>
        <c:tickLblPos val="nextTo"/>
        <c:crossAx val="309357088"/>
        <c:crosses val="autoZero"/>
        <c:auto val="1"/>
        <c:lblAlgn val="ctr"/>
        <c:lblOffset val="100"/>
        <c:noMultiLvlLbl val="0"/>
      </c:catAx>
      <c:valAx>
        <c:axId val="3093570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0935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shade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COUT!$E$9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5-45E6-951B-65E5C5BB8230}"/>
            </c:ext>
          </c:extLst>
        </c:ser>
        <c:ser>
          <c:idx val="2"/>
          <c:order val="2"/>
          <c:spPr>
            <a:solidFill>
              <a:schemeClr val="accent3">
                <a:shade val="6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COUT!$E$11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5-45E6-951B-65E5C5BB8230}"/>
            </c:ext>
          </c:extLst>
        </c:ser>
        <c:ser>
          <c:idx val="4"/>
          <c:order val="4"/>
          <c:spPr>
            <a:solidFill>
              <a:schemeClr val="accent3">
                <a:shade val="83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05-45E6-951B-65E5C5BB8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COUT!$E$13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05-45E6-951B-65E5C5BB8230}"/>
            </c:ext>
          </c:extLst>
        </c:ser>
        <c:ser>
          <c:idx val="6"/>
          <c:order val="6"/>
          <c:spPr>
            <a:solidFill>
              <a:schemeClr val="accent3">
                <a:tint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COUT!$E$15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05-45E6-951B-65E5C5BB8230}"/>
            </c:ext>
          </c:extLst>
        </c:ser>
        <c:ser>
          <c:idx val="8"/>
          <c:order val="8"/>
          <c:spPr>
            <a:solidFill>
              <a:schemeClr val="accent3">
                <a:tint val="7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COUT!$E$17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05-45E6-951B-65E5C5BB8230}"/>
            </c:ext>
          </c:extLst>
        </c:ser>
        <c:ser>
          <c:idx val="10"/>
          <c:order val="10"/>
          <c:spPr>
            <a:solidFill>
              <a:schemeClr val="accent3">
                <a:tint val="5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COUT!$E$19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05-45E6-951B-65E5C5BB8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5567824"/>
        <c:axId val="3055672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3">
                      <a:shade val="51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COUT!$E$10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805-45E6-951B-65E5C5BB8230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3">
                      <a:shade val="7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COUT!$E$12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805-45E6-951B-65E5C5BB8230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3">
                      <a:shade val="9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COUT!$E$14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805-45E6-951B-65E5C5BB8230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3">
                      <a:tint val="8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COUT!$E$16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C805-45E6-951B-65E5C5BB8230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3">
                      <a:tint val="6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COUT!$E$18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C805-45E6-951B-65E5C5BB8230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3">
                      <a:tint val="41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COUT!$E$20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C805-45E6-951B-65E5C5BB8230}"/>
                  </c:ext>
                </c:extLst>
              </c15:ser>
            </c15:filteredBarSeries>
          </c:ext>
        </c:extLst>
      </c:barChart>
      <c:catAx>
        <c:axId val="305567824"/>
        <c:scaling>
          <c:orientation val="maxMin"/>
        </c:scaling>
        <c:delete val="1"/>
        <c:axPos val="l"/>
        <c:majorTickMark val="none"/>
        <c:minorTickMark val="none"/>
        <c:tickLblPos val="nextTo"/>
        <c:crossAx val="305567264"/>
        <c:crosses val="autoZero"/>
        <c:auto val="1"/>
        <c:lblAlgn val="ctr"/>
        <c:lblOffset val="100"/>
        <c:noMultiLvlLbl val="0"/>
      </c:catAx>
      <c:valAx>
        <c:axId val="3055672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6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BESOINS!$Z$9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DF3-45E8-8ECE-57C4DAFDE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7690880"/>
        <c:axId val="307690320"/>
      </c:barChart>
      <c:catAx>
        <c:axId val="30769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90320"/>
        <c:crosses val="autoZero"/>
        <c:auto val="1"/>
        <c:lblAlgn val="ctr"/>
        <c:lblOffset val="100"/>
        <c:noMultiLvlLbl val="0"/>
      </c:catAx>
      <c:valAx>
        <c:axId val="307690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0769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92D050">
        <a:alpha val="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$C$23" inc="10" max="100" min="30" page="10" val="70"/>
</file>

<file path=xl/ctrlProps/ctrlProp2.xml><?xml version="1.0" encoding="utf-8"?>
<formControlPr xmlns="http://schemas.microsoft.com/office/spreadsheetml/2009/9/main" objectType="Radio" firstButton="1" fmlaLink="$E$34" lockText="1"/>
</file>

<file path=xl/ctrlProps/ctrlProp3.xml><?xml version="1.0" encoding="utf-8"?>
<formControlPr xmlns="http://schemas.microsoft.com/office/spreadsheetml/2009/9/main" objectType="Radio" checked="Checked" lockText="1"/>
</file>

<file path=xl/ctrlProps/ctrlProp4.xml><?xml version="1.0" encoding="utf-8"?>
<formControlPr xmlns="http://schemas.microsoft.com/office/spreadsheetml/2009/9/main" objectType="Radio" checked="Checked" firstButton="1" fmlaLink="$B$42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Spin" dx="22" fmlaLink="$C$12" inc="5" max="90" page="10" val="0"/>
</file>

<file path=xl/ctrlProps/ctrlProp7.xml><?xml version="1.0" encoding="utf-8"?>
<formControlPr xmlns="http://schemas.microsoft.com/office/spreadsheetml/2009/9/main" objectType="Spin" dx="22" fmlaLink="$K$26" inc="5" max="800" min="100" page="10" val="100"/>
</file>

<file path=xl/ctrlProps/ctrlProp8.xml><?xml version="1.0" encoding="utf-8"?>
<formControlPr xmlns="http://schemas.microsoft.com/office/spreadsheetml/2009/9/main" objectType="Spin" dx="22" fmlaLink="$K$28" inc="5" max="800" min="100" page="10" val="100"/>
</file>

<file path=xl/ctrlProps/ctrlProp9.xml><?xml version="1.0" encoding="utf-8"?>
<formControlPr xmlns="http://schemas.microsoft.com/office/spreadsheetml/2009/9/main" objectType="Spin" dx="22" fmlaLink="$K$30" inc="5" max="800" min="100" page="10" val="100"/>
</file>

<file path=xl/ctrlProps/ctrlProp10.xml><?xml version="1.0" encoding="utf-8"?>
<formControlPr xmlns="http://schemas.microsoft.com/office/spreadsheetml/2009/9/main" objectType="Spin" dx="22" fmlaLink="$O$10" inc="5" max="1000" min="50" page="10" val="50"/>
</file>

<file path=xl/ctrlProps/ctrlProp11.xml><?xml version="1.0" encoding="utf-8"?>
<formControlPr xmlns="http://schemas.microsoft.com/office/spreadsheetml/2009/9/main" objectType="Spin" dx="22" fmlaLink="$O$12" inc="5" max="1000" min="50" page="10" val="50"/>
</file>

<file path=xl/ctrlProps/ctrlProp12.xml><?xml version="1.0" encoding="utf-8"?>
<formControlPr xmlns="http://schemas.microsoft.com/office/spreadsheetml/2009/9/main" objectType="Spin" dx="22" fmlaLink="$O$14" inc="5" max="1000" min="50" page="10" val="50"/>
</file>

<file path=xl/ctrlProps/ctrlProp13.xml><?xml version="1.0" encoding="utf-8"?>
<formControlPr xmlns="http://schemas.microsoft.com/office/spreadsheetml/2009/9/main" objectType="Spin" dx="22" fmlaLink="$O$16" inc="5" max="1000" min="50" page="10" val="50"/>
</file>

<file path=xl/ctrlProps/ctrlProp14.xml><?xml version="1.0" encoding="utf-8"?>
<formControlPr xmlns="http://schemas.microsoft.com/office/spreadsheetml/2009/9/main" objectType="Spin" dx="22" fmlaLink="$O$18" inc="5" max="1000" min="50" page="10" val="50"/>
</file>

<file path=xl/ctrlProps/ctrlProp15.xml><?xml version="1.0" encoding="utf-8"?>
<formControlPr xmlns="http://schemas.microsoft.com/office/spreadsheetml/2009/9/main" objectType="Spin" dx="22" fmlaLink="$O$20" inc="5" max="1000" min="50" page="10" val="50"/>
</file>

<file path=xl/ctrlProps/ctrlProp16.xml><?xml version="1.0" encoding="utf-8"?>
<formControlPr xmlns="http://schemas.microsoft.com/office/spreadsheetml/2009/9/main" objectType="Radio" checked="Checked" firstButton="1" fmlaLink="$I$33" lockText="1"/>
</file>

<file path=xl/ctrlProps/ctrlProp17.xml><?xml version="1.0" encoding="utf-8"?>
<formControlPr xmlns="http://schemas.microsoft.com/office/spreadsheetml/2009/9/main" objectType="Radio" lockText="1"/>
</file>

<file path=xl/ctrlProps/ctrlProp18.xml><?xml version="1.0" encoding="utf-8"?>
<formControlPr xmlns="http://schemas.microsoft.com/office/spreadsheetml/2009/9/main" objectType="CheckBox" checked="Checked" fmlaLink="$I$36" lockText="1"/>
</file>

<file path=xl/ctrlProps/ctrlProp19.xml><?xml version="1.0" encoding="utf-8"?>
<formControlPr xmlns="http://schemas.microsoft.com/office/spreadsheetml/2009/9/main" objectType="Spin" dx="16" fmlaLink="$L$38" max="5" min="1" page="10"/>
</file>

<file path=xl/ctrlProps/ctrlProp20.xml><?xml version="1.0" encoding="utf-8"?>
<formControlPr xmlns="http://schemas.microsoft.com/office/spreadsheetml/2009/9/main" objectType="Spin" dx="22" fmlaLink="$D$24" inc="5" max="400" min="100" page="10" val="100"/>
</file>

<file path=xl/ctrlProps/ctrlProp21.xml><?xml version="1.0" encoding="utf-8"?>
<formControlPr xmlns="http://schemas.microsoft.com/office/spreadsheetml/2009/9/main" objectType="Radio" firstButton="1" fmlaLink="$H$23" lockText="1" noThreeD="1"/>
</file>

<file path=xl/ctrlProps/ctrlProp22.xml><?xml version="1.0" encoding="utf-8"?>
<formControlPr xmlns="http://schemas.microsoft.com/office/spreadsheetml/2009/9/main" objectType="Radio" checked="Checked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Spin" dx="16" fmlaLink="$L$7" max="8" min="3" page="10" val="3"/>
</file>

<file path=xl/ctrlProps/ctrlProp25.xml><?xml version="1.0" encoding="utf-8"?>
<formControlPr xmlns="http://schemas.microsoft.com/office/spreadsheetml/2009/9/main" objectType="List" dx="16" fmlaLink="$H$31" fmlaRange="$H$26:$H$29" sel="1" val="0"/>
</file>

<file path=xl/ctrlProps/ctrlProp26.xml><?xml version="1.0" encoding="utf-8"?>
<formControlPr xmlns="http://schemas.microsoft.com/office/spreadsheetml/2009/9/main" objectType="Spin" dx="16" fmlaLink="$G$7" max="15" min="3" page="10" val="3"/>
</file>

<file path=xl/ctrlProps/ctrlProp27.xml><?xml version="1.0" encoding="utf-8"?>
<formControlPr xmlns="http://schemas.microsoft.com/office/spreadsheetml/2009/9/main" objectType="Spin" dx="20" fmlaLink="$Q$10" inc="20" max="400" min="100" page="10" val="260"/>
</file>

<file path=xl/ctrlProps/ctrlProp28.xml><?xml version="1.0" encoding="utf-8"?>
<formControlPr xmlns="http://schemas.microsoft.com/office/spreadsheetml/2009/9/main" objectType="Spin" dx="20" fmlaLink="$Q$12" inc="20" max="400" min="100" page="10" val="260"/>
</file>

<file path=xl/ctrlProps/ctrlProp29.xml><?xml version="1.0" encoding="utf-8"?>
<formControlPr xmlns="http://schemas.microsoft.com/office/spreadsheetml/2009/9/main" objectType="Spin" dx="20" fmlaLink="$Q$14" inc="20" max="600" min="300" page="10" val="400"/>
</file>

<file path=xl/ctrlProps/ctrlProp30.xml><?xml version="1.0" encoding="utf-8"?>
<formControlPr xmlns="http://schemas.microsoft.com/office/spreadsheetml/2009/9/main" objectType="Spin" dx="20" fmlaLink="$Q$16" inc="20" max="300" min="80" page="10" val="180"/>
</file>

<file path=xl/ctrlProps/ctrlProp31.xml><?xml version="1.0" encoding="utf-8"?>
<formControlPr xmlns="http://schemas.microsoft.com/office/spreadsheetml/2009/9/main" objectType="Spin" dx="20" fmlaLink="$Q$18" inc="20" max="600" min="300" page="10" val="400"/>
</file>

<file path=xl/ctrlProps/ctrlProp32.xml><?xml version="1.0" encoding="utf-8"?>
<formControlPr xmlns="http://schemas.microsoft.com/office/spreadsheetml/2009/9/main" objectType="Spin" dx="20" fmlaLink="$S$10" inc="5" max="90" min="80" page="10" val="85"/>
</file>

<file path=xl/ctrlProps/ctrlProp33.xml><?xml version="1.0" encoding="utf-8"?>
<formControlPr xmlns="http://schemas.microsoft.com/office/spreadsheetml/2009/9/main" objectType="Spin" dx="20" fmlaLink="$S$12" inc="5" max="90" min="80" page="10" val="85"/>
</file>

<file path=xl/ctrlProps/ctrlProp34.xml><?xml version="1.0" encoding="utf-8"?>
<formControlPr xmlns="http://schemas.microsoft.com/office/spreadsheetml/2009/9/main" objectType="Spin" dx="20" fmlaLink="$S$14" inc="5" max="90" min="80" page="10" val="85"/>
</file>

<file path=xl/ctrlProps/ctrlProp35.xml><?xml version="1.0" encoding="utf-8"?>
<formControlPr xmlns="http://schemas.microsoft.com/office/spreadsheetml/2009/9/main" objectType="Spin" dx="20" fmlaLink="$S$16" inc="5" max="95" min="85" page="10" val="85"/>
</file>

<file path=xl/ctrlProps/ctrlProp36.xml><?xml version="1.0" encoding="utf-8"?>
<formControlPr xmlns="http://schemas.microsoft.com/office/spreadsheetml/2009/9/main" objectType="Spin" dx="20" fmlaLink="$S$18" inc="5" max="70" min="30" page="10" val="50"/>
</file>

<file path=xl/ctrlProps/ctrlProp37.xml><?xml version="1.0" encoding="utf-8"?>
<formControlPr xmlns="http://schemas.microsoft.com/office/spreadsheetml/2009/9/main" objectType="Spin" dx="20" fmlaLink="Q22" inc="10" max="250" min="100" page="10" val="200"/>
</file>

<file path=xl/ctrlProps/ctrlProp38.xml><?xml version="1.0" encoding="utf-8"?>
<formControlPr xmlns="http://schemas.microsoft.com/office/spreadsheetml/2009/9/main" objectType="Spin" dx="20" fmlaLink="$Q$24" inc="20" max="600" min="400" page="10" val="400"/>
</file>

<file path=xl/ctrlProps/ctrlProp39.xml><?xml version="1.0" encoding="utf-8"?>
<formControlPr xmlns="http://schemas.microsoft.com/office/spreadsheetml/2009/9/main" objectType="Spin" dx="20" fmlaLink="$Q$26" inc="20" max="600" min="400" page="10" val="400"/>
</file>

<file path=xl/ctrlProps/ctrlProp40.xml><?xml version="1.0" encoding="utf-8"?>
<formControlPr xmlns="http://schemas.microsoft.com/office/spreadsheetml/2009/9/main" objectType="Spin" dx="20" fmlaLink="$Q$28" inc="20" max="600" min="400" page="10" val="400"/>
</file>

<file path=xl/ctrlProps/ctrlProp41.xml><?xml version="1.0" encoding="utf-8"?>
<formControlPr xmlns="http://schemas.microsoft.com/office/spreadsheetml/2009/9/main" objectType="Spin" dx="20" fmlaLink="$Q$30" inc="20" max="600" min="400" page="10" val="400"/>
</file>

<file path=xl/ctrlProps/ctrlProp42.xml><?xml version="1.0" encoding="utf-8"?>
<formControlPr xmlns="http://schemas.microsoft.com/office/spreadsheetml/2009/9/main" objectType="Spin" dx="20" fmlaLink="$Q$32" inc="20" max="600" min="400" page="10" val="400"/>
</file>

<file path=xl/ctrlProps/ctrlProp43.xml><?xml version="1.0" encoding="utf-8"?>
<formControlPr xmlns="http://schemas.microsoft.com/office/spreadsheetml/2009/9/main" objectType="Spin" dx="20" fmlaLink="Q24" inc="10" max="250" min="100" page="10" val="200"/>
</file>

<file path=xl/ctrlProps/ctrlProp44.xml><?xml version="1.0" encoding="utf-8"?>
<formControlPr xmlns="http://schemas.microsoft.com/office/spreadsheetml/2009/9/main" objectType="Spin" dx="20" fmlaLink="Q26" inc="10" max="250" min="100" page="10" val="200"/>
</file>

<file path=xl/ctrlProps/ctrlProp45.xml><?xml version="1.0" encoding="utf-8"?>
<formControlPr xmlns="http://schemas.microsoft.com/office/spreadsheetml/2009/9/main" objectType="Spin" dx="20" fmlaLink="Q28" inc="10" max="250" min="100" page="10" val="200"/>
</file>

<file path=xl/ctrlProps/ctrlProp46.xml><?xml version="1.0" encoding="utf-8"?>
<formControlPr xmlns="http://schemas.microsoft.com/office/spreadsheetml/2009/9/main" objectType="Spin" dx="20" fmlaLink="Q30" inc="10" max="250" min="100" page="10" val="130"/>
</file>

<file path=xl/ctrlProps/ctrlProp47.xml><?xml version="1.0" encoding="utf-8"?>
<formControlPr xmlns="http://schemas.microsoft.com/office/spreadsheetml/2009/9/main" objectType="Spin" dx="20" fmlaLink="Q32" inc="10" max="250" min="100" page="10" val="190"/>
</file>

<file path=xl/ctrlProps/ctrlProp48.xml><?xml version="1.0" encoding="utf-8"?>
<formControlPr xmlns="http://schemas.microsoft.com/office/spreadsheetml/2009/9/main" objectType="Spin" dx="20" fmlaLink="$S$22" inc="5" max="50" min="20" page="10" val="30"/>
</file>

<file path=xl/ctrlProps/ctrlProp49.xml><?xml version="1.0" encoding="utf-8"?>
<formControlPr xmlns="http://schemas.microsoft.com/office/spreadsheetml/2009/9/main" objectType="Spin" dx="20" fmlaLink="$S$24" inc="5" max="50" min="20" page="10" val="30"/>
</file>

<file path=xl/ctrlProps/ctrlProp50.xml><?xml version="1.0" encoding="utf-8"?>
<formControlPr xmlns="http://schemas.microsoft.com/office/spreadsheetml/2009/9/main" objectType="Spin" dx="20" fmlaLink="$S$26" inc="5" max="50" min="20" page="10" val="30"/>
</file>

<file path=xl/ctrlProps/ctrlProp51.xml><?xml version="1.0" encoding="utf-8"?>
<formControlPr xmlns="http://schemas.microsoft.com/office/spreadsheetml/2009/9/main" objectType="Spin" dx="20" fmlaLink="$S$28" inc="5" max="50" min="20" page="10" val="30"/>
</file>

<file path=xl/ctrlProps/ctrlProp52.xml><?xml version="1.0" encoding="utf-8"?>
<formControlPr xmlns="http://schemas.microsoft.com/office/spreadsheetml/2009/9/main" objectType="Spin" dx="20" fmlaLink="$S$30" inc="5" max="50" min="20" page="10" val="30"/>
</file>

<file path=xl/ctrlProps/ctrlProp53.xml><?xml version="1.0" encoding="utf-8"?>
<formControlPr xmlns="http://schemas.microsoft.com/office/spreadsheetml/2009/9/main" objectType="Spin" dx="20" fmlaLink="$S$32" inc="5" max="50" min="20" page="10" val="30"/>
</file>

<file path=xl/ctrlProps/ctrlProp54.xml><?xml version="1.0" encoding="utf-8"?>
<formControlPr xmlns="http://schemas.microsoft.com/office/spreadsheetml/2009/9/main" objectType="Spin" dx="20" fmlaLink="$S$34" inc="5" max="90" min="80" page="10" val="85"/>
</file>

<file path=xl/ctrlProps/ctrlProp55.xml><?xml version="1.0" encoding="utf-8"?>
<formControlPr xmlns="http://schemas.microsoft.com/office/spreadsheetml/2009/9/main" objectType="Spin" dx="20" fmlaLink="$V$13" inc="2" max="20" page="10" val="8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gif"/><Relationship Id="rId1" Type="http://schemas.openxmlformats.org/officeDocument/2006/relationships/hyperlink" Target="#ACCUEIL!A1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TOCKS!A1"/><Relationship Id="rId3" Type="http://schemas.openxmlformats.org/officeDocument/2006/relationships/hyperlink" Target="#COUT!A1"/><Relationship Id="rId7" Type="http://schemas.openxmlformats.org/officeDocument/2006/relationships/hyperlink" Target="#AGNEAU!A1"/><Relationship Id="rId2" Type="http://schemas.openxmlformats.org/officeDocument/2006/relationships/hyperlink" Target="#ANIMAL!A1"/><Relationship Id="rId1" Type="http://schemas.openxmlformats.org/officeDocument/2006/relationships/image" Target="../media/image1.gif"/><Relationship Id="rId6" Type="http://schemas.openxmlformats.org/officeDocument/2006/relationships/hyperlink" Target="#PATURAGE!A1"/><Relationship Id="rId11" Type="http://schemas.openxmlformats.org/officeDocument/2006/relationships/hyperlink" Target="#PREVISION!A1"/><Relationship Id="rId5" Type="http://schemas.openxmlformats.org/officeDocument/2006/relationships/hyperlink" Target="#NOUVEAU!A1"/><Relationship Id="rId10" Type="http://schemas.openxmlformats.org/officeDocument/2006/relationships/hyperlink" Target="#ALIMOVINS!A1"/><Relationship Id="rId4" Type="http://schemas.openxmlformats.org/officeDocument/2006/relationships/hyperlink" Target="#BILAN!A1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hyperlink" Target="#ACCUEIL!A1"/><Relationship Id="rId1" Type="http://schemas.openxmlformats.org/officeDocument/2006/relationships/image" Target="../media/image6.png"/><Relationship Id="rId4" Type="http://schemas.openxmlformats.org/officeDocument/2006/relationships/hyperlink" Target="#NOUVEAU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hyperlink" Target="#FOURRAGE!A1"/><Relationship Id="rId1" Type="http://schemas.openxmlformats.org/officeDocument/2006/relationships/hyperlink" Target="#ACCUEIL!A1"/><Relationship Id="rId5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7" Type="http://schemas.openxmlformats.org/officeDocument/2006/relationships/chart" Target="../charts/chart2.xml"/><Relationship Id="rId2" Type="http://schemas.openxmlformats.org/officeDocument/2006/relationships/hyperlink" Target="#CONCENTRE!A1"/><Relationship Id="rId1" Type="http://schemas.openxmlformats.org/officeDocument/2006/relationships/hyperlink" Target="#ACCUEIL!A1"/><Relationship Id="rId6" Type="http://schemas.openxmlformats.org/officeDocument/2006/relationships/image" Target="../media/image6.png"/><Relationship Id="rId5" Type="http://schemas.openxmlformats.org/officeDocument/2006/relationships/hyperlink" Target="#ANIMAL!A1"/><Relationship Id="rId4" Type="http://schemas.openxmlformats.org/officeDocument/2006/relationships/hyperlink" Target="#NOUVEAU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#CMV!A1"/><Relationship Id="rId7" Type="http://schemas.openxmlformats.org/officeDocument/2006/relationships/hyperlink" Target="#FOURRAGE!A1"/><Relationship Id="rId2" Type="http://schemas.openxmlformats.org/officeDocument/2006/relationships/hyperlink" Target="#ACCUEIL!A1"/><Relationship Id="rId1" Type="http://schemas.openxmlformats.org/officeDocument/2006/relationships/hyperlink" Target="#Melange"/><Relationship Id="rId6" Type="http://schemas.openxmlformats.org/officeDocument/2006/relationships/hyperlink" Target="#COUT!A1"/><Relationship Id="rId5" Type="http://schemas.openxmlformats.org/officeDocument/2006/relationships/hyperlink" Target="#NOUVEAU!A1"/><Relationship Id="rId10" Type="http://schemas.openxmlformats.org/officeDocument/2006/relationships/chart" Target="../charts/chart4.xml"/><Relationship Id="rId4" Type="http://schemas.openxmlformats.org/officeDocument/2006/relationships/image" Target="../media/image1.gif"/><Relationship Id="rId9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7" Type="http://schemas.openxmlformats.org/officeDocument/2006/relationships/chart" Target="../charts/chart6.xml"/><Relationship Id="rId2" Type="http://schemas.openxmlformats.org/officeDocument/2006/relationships/hyperlink" Target="#RATION!A1"/><Relationship Id="rId1" Type="http://schemas.openxmlformats.org/officeDocument/2006/relationships/hyperlink" Target="#ACCUEIL!A1"/><Relationship Id="rId6" Type="http://schemas.openxmlformats.org/officeDocument/2006/relationships/chart" Target="../charts/chart5.xml"/><Relationship Id="rId5" Type="http://schemas.openxmlformats.org/officeDocument/2006/relationships/image" Target="../media/image6.png"/><Relationship Id="rId4" Type="http://schemas.openxmlformats.org/officeDocument/2006/relationships/hyperlink" Target="#CONCENTR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gif"/><Relationship Id="rId1" Type="http://schemas.openxmlformats.org/officeDocument/2006/relationships/hyperlink" Target="#ACCUEIL!A1"/><Relationship Id="rId4" Type="http://schemas.openxmlformats.org/officeDocument/2006/relationships/hyperlink" Target="#RATION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#CONCENTRE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1.gif"/><Relationship Id="rId7" Type="http://schemas.openxmlformats.org/officeDocument/2006/relationships/chart" Target="../charts/chart7.xml"/><Relationship Id="rId2" Type="http://schemas.openxmlformats.org/officeDocument/2006/relationships/hyperlink" Target="#IMPRIMER!A1"/><Relationship Id="rId1" Type="http://schemas.openxmlformats.org/officeDocument/2006/relationships/hyperlink" Target="#ACCUEIL!A1"/><Relationship Id="rId6" Type="http://schemas.openxmlformats.org/officeDocument/2006/relationships/hyperlink" Target="#BILAN!A1"/><Relationship Id="rId5" Type="http://schemas.openxmlformats.org/officeDocument/2006/relationships/image" Target="../media/image6.png"/><Relationship Id="rId4" Type="http://schemas.openxmlformats.org/officeDocument/2006/relationships/hyperlink" Target="#CMV!A1"/><Relationship Id="rId9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hyperlink" Target="#IMPRIMCOUT!A1"/><Relationship Id="rId1" Type="http://schemas.openxmlformats.org/officeDocument/2006/relationships/hyperlink" Target="#ACCUEIL!A1"/><Relationship Id="rId6" Type="http://schemas.openxmlformats.org/officeDocument/2006/relationships/chart" Target="../charts/chart10.xml"/><Relationship Id="rId5" Type="http://schemas.openxmlformats.org/officeDocument/2006/relationships/image" Target="../media/image6.png"/><Relationship Id="rId4" Type="http://schemas.openxmlformats.org/officeDocument/2006/relationships/hyperlink" Target="#CONCENTR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RATION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COUT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NOUVEAU!A1"/><Relationship Id="rId2" Type="http://schemas.openxmlformats.org/officeDocument/2006/relationships/image" Target="../media/image1.gif"/><Relationship Id="rId1" Type="http://schemas.openxmlformats.org/officeDocument/2006/relationships/hyperlink" Target="#ACCUEIL!A1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gif"/><Relationship Id="rId1" Type="http://schemas.openxmlformats.org/officeDocument/2006/relationships/hyperlink" Target="#ACCUEI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FOURRAGE!A1"/><Relationship Id="rId7" Type="http://schemas.openxmlformats.org/officeDocument/2006/relationships/hyperlink" Target="#PREVISION!A1"/><Relationship Id="rId2" Type="http://schemas.openxmlformats.org/officeDocument/2006/relationships/image" Target="../media/image1.gif"/><Relationship Id="rId1" Type="http://schemas.openxmlformats.org/officeDocument/2006/relationships/hyperlink" Target="#ACCUEIL!A1"/><Relationship Id="rId6" Type="http://schemas.openxmlformats.org/officeDocument/2006/relationships/image" Target="../media/image6.png"/><Relationship Id="rId5" Type="http://schemas.openxmlformats.org/officeDocument/2006/relationships/hyperlink" Target="#AGNEAU!A1"/><Relationship Id="rId4" Type="http://schemas.openxmlformats.org/officeDocument/2006/relationships/hyperlink" Target="#CONCENTRE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BESOINS!A1"/><Relationship Id="rId2" Type="http://schemas.openxmlformats.org/officeDocument/2006/relationships/image" Target="../media/image1.gif"/><Relationship Id="rId1" Type="http://schemas.openxmlformats.org/officeDocument/2006/relationships/hyperlink" Target="#ACCUEIL!A1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STOCKS!A1"/><Relationship Id="rId2" Type="http://schemas.openxmlformats.org/officeDocument/2006/relationships/image" Target="../media/image1.gif"/><Relationship Id="rId1" Type="http://schemas.openxmlformats.org/officeDocument/2006/relationships/hyperlink" Target="#ACCUEIL!A1"/><Relationship Id="rId5" Type="http://schemas.openxmlformats.org/officeDocument/2006/relationships/chart" Target="../charts/chart11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438150</xdr:colOff>
      <xdr:row>3</xdr:row>
      <xdr:rowOff>47625</xdr:rowOff>
    </xdr:to>
    <xdr:sp macro="" textlink="">
      <xdr:nvSpPr>
        <xdr:cNvPr id="1025" name="rg_hi" descr="data:image/jpeg;base64,/9j/4AAQSkZJRgABAQAAAQABAAD/2wCEAAkGBhQSEBQUEhQUFRQVGBcYFxgWFBgZGBsXHRYVGBQXGBUYHCcfFxokGhUXHy8gIycpLCwsFR4xNTAqNSYrLCkBCQoKDgwOGg8PGi4kHyQsLCk1LCwsNSwsLCwtLCwpLCwsLCwpLCwsLCwpLCwsLCwsLCwsKSwsKSksLCosKSwsLP/AABEIAPUAzgMBIgACEQEDEQH/xAAcAAABBQEBAQAAAAAAAAAAAAAAAQQFBgcDAgj/xABFEAACAQMBBAYGBgkEAQQDAAABAgMABBESBQYhMQcTIkFRkVJhcYGh0hQWMkKTsRcjcoKSorLB0TNTYvDCFUOz4TRjc//EABsBAQADAQEBAQAAAAAAAAAAAAABAgMEBQYH/8QAMhEAAgEDAgQEBAYCAwAAAAAAAAECAwQREiEFMUFRExRSYSJxgZEjMqGxwfDR4RVCYv/aAAwDAQACEQMRAD8Am6KKK/PTjEopaKAKQUtFBkSloooAooooAooooAooooAooooMiUtFFBkKKR2ABJIAHEk8AB3knuqv2+/dq8qxqX7bFFcpiMsPByeWSO7vFawozqJuKbwSlksNJS0VkQJS0lLQBSGlpKAWmu1LzqYJZPQRm94Bx8cedOqq/SPe9XYOO+RlT3Z1H4JW9vT8SrGHdkpZZX9kb3bTugxgiicKQD2QOJ5AZcZ5VI7mb7TXNyYJkQHSxyoKkFSMggkiq1sj6fbWDTwlFgYliewX+0I8jIzzFS+5LxR2NzdKrdciurMzZz2dQ08BgFsZ7+HOvfuKFLRPEY88LHNP3NWkeYt+b6e4kjtY4nClyo08dAbAJJcDvHnU5sO/2m86C4hjSLjqYAZ5HAGHPM4HKqTuXsi8k6yS0kWMjCMWPPPawMqfAGrmiXtvaXcl1MJGEZ6vTjsnBBb7I8R5VldU6UH4cFDov/W/9yJJLZDTbG/crXH0ewjEj5ILkZGRz0jIGB6ROOHhUfPvvf2kypdohBAbAVQSpPNWQ4zwPlXvoktVzcSH7Q0KPUDqJ8yo8quk217Yy9U0kRlzp0HBbJ+7jx41nVdK3qOiqWpJbvr9yHhbYInevfZbQKqL1krgMqnkFPItjjx7gPOoC+29taKPr5ERY+BI0JwBPDK51AVH2J6/bp6zGBM+Af8A9Ybqx/IKuPSHtBY7CRSe1LhFHee0Cx9wHxHjVlTp0J06KgpOWG29+fb5E4xhHrYe9wnspLggK0SvrA5aguoEeo8PjVS2Z0l3LTRCURdWzqGIQg4JAbBz3ZrjZK0GxJmPA3Eiqv7Ixk+/S3lTXa+xtGyrSbHEvISfU/FPhH8a3pW1BSknHZy0r22z+5OlFz353rltHhjgCFn1E6hnvAXHEd+adb1b3rZIqkB52HBeQ8CzeAznAqmm9+nbUtTzAWHP7q9ZJ/NkUSn6Rt7EnFRNpAPggOke8r/NWUbOmlGM1+WLk/fsiNK5D+729tZIjOyIkYAJGhMgHkSpJYD/ADVj3W3tF1bSSOArw56wDlgKWDDPHiAeHqNdN+9oLFYS6iMyDQo8S3PHsGTVM2Pbtb7HupWBHX6VT9nOnPsOpv4azjGncUNWhRepJY2z/kj8yJ/cXeu4vJZBL1YRFB7K4Ootw458AfKvW/W+EtpJFHCEJZSzalz34XHH1GuPRRagW0r97yY9yqMfFjUJts/S9tog7Sq8acOPBO1J8dVSqNJ3k/hWmKGFqZO78b1SWywxhYnaRMyB01L90YC55ag3PPKmRl2myqv0K3KrxUGOPAz4DXwqK31D3W1RFHjUNEa55A41En1ZY+VWWy2RtXrEMlyhj1KXAIyVz2gP1Y7s1pphRoweIptZ3z+mCdkhdr7V2nGFMcKFRErSMQuA+ktJjt8hy91Quyt9dpXJYQRxPpALYQDAPLm4q4b73nV2E572XQPaxC/kT5VBdE9lpt5ZPTkAHsRf8ufKsKU6flpVpU45TwtuZCa05wctub43drBB1qxrPIZCyleAQEBOAbmeJzmvSbZ2wwBFtHggEcF5EZH/ALlQu/5a42mkCcSBHGPDUx1HP8Q8qsFrsbawdddymgFdWCM6cjOP1fhW7hShSjJxgm99/wCCdsFs2Y8hhjMwAlKguByDd45mnVBpK+fk8tsyFqvb37sNepGgkEYQljlS2SQAORGMDPnVhoq1KrKlNTjzQTwQN3uxq2cLNXC4VFL6SQcMGY6c95GffUdabitHYTWomXMrhi+g4AGnK4z/AMefrq31C7V3xtbckSSgsPuoNTe/HAe811Ua9xL4Yb76uWdyU2Vm26NriMER3pQE5IUOoz44D86smwt3Wigkinla46wnJYt9krp0jUTjv86hZOle2B4RTH14Qf8AlT3Z3SPaSkKWaIn/AHFwP4lJA99dVeN9OPxx257JZ/Tcs9ZDjo2nhcm1uzGDw+8rY8CUPGpbdrcJLaTrpJDNLxIJGACeZ4kkt6z4mrSrAgEHIPIjiMeII51AXW/tnG7I8jBkJVh1b8CDg8ceqsfM3ddOC374W/1IzJkZvF0eddMZ4JeqkY6iCDjV6QZeKnv76423Ru8jh725abH3QWOfVrfiB7BVi2RvZbXTlIXLMBqwUZeGQOZHiRUxUSvLqkvDk8Nd1vj5jVJbFc3q3TN3FFFG6xJGc40Ej7OlQACMADPnTjau7ImsRahgulYwrYzgpjjjPeAfOpS9vEijaSQ6UQZY+A/v7KgP0i2P+634T/4qtOVzOMdCbUXlbdSE5Mabq7gfRLjrWlWTCsoAQjBOOOST3ZHvpd5ej4XE3XRS9VIcFuBIJHJgQcqeAqel2/CtuLhmIiOMEq2Tk4HZxnj+VRf6RrL/AHW/Df5a1jVvJ1PFim3y5bfIlOTeSDuejW4lIMt5rI5aldsezU3CrBBuoWsntriZpS5yH49nGnQFDE4A08uXGp21uFkRXX7LgMMjHAjIODy4VX36RLIEgynhw/03/wAVHj3dfaKzh9FyYzJkBB0dXcWVhvAiNzwZFz7VHDPvqf3W3JjsyXLGSUjBYjAAPMKOPPxPw7xekSyJx1p/Df8AxVlqLi5utOmqsZ9sZEnLqUO86OJXuHnF0Ed3ZwVRgRknkQ3gcU+2PudcRTpJJevIqnJQl8HgcZy5HOp3bO3obVVadtIYkLhS2SBk8FFNNm76Ws8qxRSFnbOBoccgSeJGOQq3mLudPOPhxz09PmNUmhd7N32vIBEsgjGsMSVJzgEAYyPGnG7uxvotskOrVp1ZYDGSWJzg+0D3V62xt+G1Cmd9IYkL2WbJABP2QfEVF/pFsf8AeP4Uny1hGNzUoqEYtxznZdSPiaIraXR1LLcvOtyEZnLDCNlfABg3cMDNOtl7mXEU0byXskiKwJTL4YDuOXxinf6RbH/eP4Uny0fpFsf94/hSfLXW53zjpcHjGPy9PsW+MslLTbZ+0EnjWSM5Rs4OCM4JB4HjzFODXkOLi8MzFooqE3y2wbazkdThzhE/abv9wBPuq9Om6k1BdXgnGSn7+b8sXa3t20quRI6nix5FVI5KO/HPj3VTdkbGlupNEKljzPcAPFieAFMSa2zcrYgtrRBjDuA7nvyRlR7gcefjX1VapDh9BKC3f6+7N3iC2KS/RRchciSEt6OW/MriqdeWjxSMkgKupwQe419DVjvSYoG0Gx3pGT7dI/wKw4df1K9RwqdskQm28MnOi3b7FmtnJK6dUee7GNaj1YOceo1V9+7fRtCceLBv4lVv7056OAf/AFGLHhJn2dW1POlS203qt6cSn3gsv5AVvFKnfNL/ALRz9ck8pjfoyn036j0kkH8ur/xrYaxHcWXTtC39bafNSP71sG2dqrbQPM/JBwHi3JV95x8a8zi1Nu4ilzax+rKVFuUXpS3g4raoeWHkx4/cXy7XvFVfdDYBu7lUP+mvakP/ABB5e0nh76ir26aWRpHOXclifWTWx7j7vfRbYah+tkw7+I4dlfcD5k16FaSsLVQj+bl9er+hd/BHBDdKt0EtoYlwNT5wPRRcAfzDyrM7WAu6oObMFHtJx/erh0qXuq7SPujjHmxLH4aaitw7LrNoQjuUlz+6Cw+IFa2f4NmpPs2I7RNb2vOLe0lYcOriIX3LpX44rBeZrYOku80WDL3yOi+4HWf6RWYbuWXW3cCelIufYDlvgDXPwlaKEqj6v9kRT5ZI7keNbzu5fddaQScyyLn9odlviDWO74WXVX0692ssPY3aHwatB6LL7XZtH3xOf4WGofHVUcViqtvGovZ/RipuskF0s3uZ4Yx9xCx9rNj8kFceiqy1XUkndHGfNiB+Qaojfq86zaE57lbQP3QF/MGrr0U2Wm2lkxxeTA9iqP7uatW/B4el3SX3D2gQvSxe5uIo/QTJ9rN/hRVT2NsaS6l6uIAtgnicDA58afb7XvW3857g+gexAF/MGn/R9tqC1lkknYglAq4UtzYFuXLkK6qalRtFoWWly92WWVHYX9GV56Mf4oo/RleejH+KKvH6SLL/AHH/AA2p7snfC2uZOrhZmbBPFGAwOfE/9415kr2+isuG3yf+SmufYfbGsept4ou9EVT7cdr45p4aWkNeDKTlJyfUyFrPuly4PV26dxZ2PuCgf1GtBqi9K+zy0EUoGRGxDeoMBg+a4/ert4c0rmGf7sy0OZm+y4Q88SHkzop9hYA/nX0FXzvDKUYMOBUgg+sHIrXNmdJNrJGDK5ifHaUqxGe/SVByK9fi9CpU0uCzjJpUTfItdYVvXtIT3k0g4qWwv7KgKvwGffVv3t6R0eNorXV2wQ0hGOz3hRzyfE49lUOwsHmkWONSzscAD/vAd+atwu0lQTq1Nv4QhHG7Lp0UbOJmlmI4ImgftMQT/Kv81Ouly3//AB3/AP6L/Sw/M1cd29hraW6RDiRxc+Ln7R9ncPUBUD0p2+qyVvQkXyKsPzxXHC5VW/U1y5FVLMzNdgTaLqBvCWM/zirV0obf6yYW6HsxcX9cnh+6OHtJqkRuVII4EEEe0cq6xxvNKAMs8je8sx/ya96dCMqqqvomatb5LR0c7u9fcda4zHCQePIv90e77R9g8a1yo3d/Yy2tukS9wyx9Jz9o/wDe4CnW0LrqopJD9xGbyBP9q+Uvbh3NbblyX99znk9TMS3tvetvp35jWQPYvZHwWrN0S2eZppfQQKPaxz+SfGqIzZJJ5nn/AHrWei6y0WRfvkkY+5QFHx1edfQX78K0cV7L+/Q2ntEh+ly87UEXgGc+8hR/SfOozovs9d7q7o0ZvecIP6jTXpEvOs2hL4IFQe5Rn+YmrN0S2eI55fSZUHuBY/FhWMvwOH49v3Ie0CL6V7LTcxyD/wByPB9qnH5FfKvHRftQRTyqx7LRFvfH2v6dVWTpTsddosnfHIPJgVPxC1ldtctG2VODhl9zKVb4E1a0j5iyVN/L7Ex+KIXM5d2c82JY+85/vW0bqxi32bET92Myt7wZD8Kxi0tzJIiDmzKo95xWy77XAh2dKB3qsS+8hf6QarxP4nTorq/9fyRU6IxeaQsxY82JJ9pOTVh2PuDcXMKyxmMK2camIPA4PDHiKrlalsHfuygtYYiz5RADiM41c27/ABJrsvKlanBeDHLz+haTaWxXv0V3fpQ/xn5as24u5ctnLJJMUJKBV0kn7wLZyB4CnX6S7L05Pwj/AJqX2JvDFdqzQliFIB1KV4kZ4ePKvEubm8lSaqRwn7YMnKWNyTooorxTMK5XNusiMjgMrAgg8iK60VKeN0SZltvorcMWtXDL6DnDD1BuTe/FQR6Pr7OOoP8AGmPPVW1UletDi9eKw8P5l1UZlOzuiy4cjrWSJe/jrbyXh8a0Dd/daGzXES5Y/aduLH1eoeoVL0Cua4v61dYk9uyKuTYVE71bIa5tJIkxqbTp1HAyGB5+zPnUtRXJTm4SU1zW5Bkn6LLvxh/EPy1Y9ytw3tpjLPoLAYjCnOCftMcgcccB7TV4zRXoVeKV6kHB43LObYVF7z2Ek9pLFFp1uAvaOBjUC3HHgMe+pSivPhNwkpLpuVMk/Rbd+MP4h+WtL3f2d9HtoojjKKA2OWonLY95NSFFddzfVbiKjPGCXJvmZZtDo3vJZZJCYcu7N/qHvJPo+urzuhsRrW1WJ8a8szaTkZJ4YOPACpqile/q14eHLGPYOTawR28GzPpFrLEMZdSFzy1DivxArNf0WXfjD+IflrWqWltfVbeLjDBMZOPIzbdzo5uIbqKSUxaEbUdLknIBK8MeOKsu/OwZruFI4Sgw+ptTY5KQuOBz9o1ZKKTv6s6karxlDU28mSfosu/GH8Q/LR+iy78YfxD8ta3SV0/8vce32J8SRkv6LLvxh/EPy1e9y9gNaW3VyadZdmbScjkoXjjwFT9LXPccQq14aJ4wQ5t7MKKKK4CgUUUUAlFLRQBSClrzq447/j5VIFpajdobxW8DaZZkRvRJJPvABI99PLW7SVQ8bq6nkVII8xVnTlGOpp4JO1FFFUICiiigCiiigCiiigEpaKKAKKKKAKSlooBKWkpaAKQ0tJQC0UUUAUVyubpI11SOqKO9iAPM1UN6N9AypDYyB5pXCZT7uSAMEjGSSAD7a6KFtUryUYr69Cyi2cd9N+Cha3tiQ4IEko5IM4IBHfkgFu7kONWLZfQTBcWizrfySSyLqWVADHn1Bu2ePD7QPqHKrBuN0Sm0S5ju2huorpE6waGDB1YkjUTxXJ1Z4HIU8K0HZWy4raFIYEEcSDCqM4AySeJ4niScnxr7G2toW8NMfv3OiMUjL+j/AKGoBbdbtGFpLiXUWWRmHVjUQBhW4sQNRYk8wBjvqMFnHYbcuLW2kJtgpZwzZCHQGILHhlWOnJ48cHjW+7VsjNC8ayvCXGBJHjWvrUsCAe73+NfPHSl0bx7LMEkc80kU7FZdZUvkFWJBAAbPE8RzXnxrStSVWDh3JaysFil34slODOufUHI8wuKkLDbUM/8ApSo/qVuP8PP4VAbN2Ns26lUbMtxcpDA0s8c4lEshEiLpWTUAkmksV09kkYOM5FS3jFlNcINjwXcbg8dT8PVpXiyYPeW93fXkT4PSUdpNfMydNYNZorhYo4ijEhy4VQ58WwNR867183JYeDEKKKKqAooooAooooAooooAooooBKWkpaAKKKKAKb394Ionkb7KKWPuGacVzngV1ZWAKsCCDyIIwRVo4ytXIGbbM2M+1iZZp16ySUQ21urjOo8Wdl5pDGgZicZbTjI5003ge3HUxWNpJFdWw1XMmt2/Wx/6mFYnCq6k6uHhirvsvc2O0nFxaSPDKurBIWRQGBVhpceB55NQm6e6Nxtu6unNw0dt1paV9KhpHPLsIApOFzx4Lnhkk19nbXNKtHTR6e2MHTGSfI1Tot3plvLN7q6uI2LSN2AqosIXhpJzk5GG4+lT6PfzrJ5Bb28tzboFUzW5R/1xLakCsw1IBjtqSNWR3VQ9pdCttYPb3KSvIiXFsJI5kRlZHnjjPIDgNecEHlV42ZuE0G2Jb5JcRSxBDCFxhgI1XGOGgBMgdxPhXaXGO195LkTQmWcbNSZhFBFJElxJK5I1PLpOmIDKqAH5scniBWP77XW0bjaxtrjN3LbyFY41jwjDssG6tO5l0kknlwzivoLePc23vnt3nDFraTrI9LY49klW4cVJVTjh9nnTO0t1TblwdI1TWcLasDPYllRhnwIaPP7I8KAw64hv9lzJNcwNZxzDq2NqyxkjOoglS2CMZxwzjnVj3Z3ls5P1VuSrceDrhnOSSSxJ1txJ4nNaptTc1Lq8Wa6YTQxLiK3ZB1ayE9uVuP6xsYABGBxrK+ni3s7d7Y26xxXgbUwiUL+rA7LOF4Z1AY78Z7q4bqzjXjjLX12+xSUclkophsjbcVymuFwwH2uYIPgVPEU/r46cHB6ZLDOcKKa7T2nHbxmSVgqDv789wA7zVUuelW2C5RJWOeRCrw8c5PlW1K1rVlmEWyVFvkXWimOxNsJdQrLFnScggjiCOYOP+8afVhODhJxls0QFFFFVICig8KKnACiivLuAMkgDxNQD1SE1GzbaGcRgux5eH+TXaC1Zu1Kc+Cj7I9o7zWmhpZkTgeK2eVFLRWZAUUUUDKjvdcTXFxb7Otjh7gjWfBSTzx3YVmPqFaJu70RW9lLBLBPcq0XGQCTsTHGO2mMAeod3nWdSbWTZ+34Lu4B6h4yuoAnT2DGxx34JBOO5q3XZO2YbqMS28iyxkkal5ZHMfGvtOHwjG3jp6rJ0wWEMN9rBptnXKJxfq2ZP20/WJ/MgqS2XfrPBHMn2ZUV19jKGH506ql7NL2/XbOWQQv25LCRlDK0RbX1eD9oxMSpXnoKkeI7i5dKrTnO21x92xbP71ymn+hvjTS82jfXEX0b6M9tI/ZluOtjMSJ994GVtbuVzpBVdJILYxx77pkT3F1eDJibq7e3YnOqKHVrkB7w0skmD3hAe+gLTUS+6dmWkdraBnkJZ2aJGZieZJYE1LVA7e37srJzHc3CRyBNeghixXiBgAHJJB4c6AyLfnd9Nk7XtpLYaILvKtGOQOpVcAdy9tGA7iDjhT7eHe2CzwJCS5GQiDLY8TkgAe3wqJ2jtt9t7TjnVGSztPsaubHIbjjhqYhSQOSqPf53z3ZtTru53kBCgaQwAZguEUZUkE4A4es14V6qFS6jGeeXTv0RjLDluULezeh7ybJ4Rrnq14cAcZJxzY451E2dk8raYkd24nSilmwOZwoJxU/uZBDc7UtYp416l5FQoMqMHIUFgck5I45ya+kNmbhpHapCZNMiurddDGkMjIkuuKNig4gKqofECvapwjTioxWEjVLB80bCtZJmSF52hizIo4nhJoZlHVL2zlwqkgHn6sVoO4+yLyEN9Kc6SBpjZtTA5HHP3eGRjPfVM6VbFYds3iqMAya/e6rIfixp90e74dW5huJGKuR1ZbiFbJyCScgHh6s+FcPEKU50XoS+2/wBCs08bGoVDyxXN9I0FkraI/wDWlyyKzBo9cEc4UqkhRidRHDGBTLb1rI1xqktzcWyR5VPpIhj6z7zzfeZQOQFP+jC9vbbLfRXNpcuOpwRFbpJIwBOltUvVnSgViPHh2s15/DbKm8VZNN9u3zKQiubLTddFVnF1shhmugIwI7dpmbD5OtkZ3GGbs8SRp0kjniqBsXa10IhGYog0LNDJ9IuVRw65JBGDpUDC9Y+ATjjxxWmxNtCe3tnJdGkcLKiokDxKdavI2suJNJAwgAyGBPqz6z6Lb1o47hLgSXN0ZOu1JiPq3B60SzDtkngNIHPgOAJr2atvTqxxNZNGkzlab4darBYwrIxVu2si5/4OnZceukjSSduZPrPIf4rnsbZbM8sThENvI0UixkFdS4+xjuII4kDw51Z4YQowowK+WudFCbjGODCWzONls9Yxw4t3nv8Ad4CnVJS1wN5eWUCiikqoFooooCrbB2Ul/vGY7gB4rePWEbirEBCAR3jVJqI79OK3pQAABgAcAP7AVgO2Yriy2hHtG0TrCBplTjxGNJ4Djgr3jiCoNLDa3m8d/wDSopPosFu0a4MpLxEAMxRVA1MWBOTp5AZ4V9rYzhOhHR0SOqLyjf6ZbW2LDcx9XOgdchhzDKw5MjjDIw8VINPFpa7SxWm3EjYaZbi9li5GKS5YoR4NgBnX1Mxz31YoYVRQqgKqgBVUAAADAAA5DHdXuigFptebPjlVhJGjhlKsGUHKnmpz3eque2Ou6h/o3Vddj9X1urq85HBtJBxjIyPGsz2l09pCHhezmF5GSjR6l6sSDgcOCWK55dniKAqmwrIWe2L+zjJMKksoJzjimke0CTTn/jUf0t56u37Qxqfs54k4XjjwHEfveupfczZUwee7uuE9yxYgjBAJLHI7sk8u4KKZ9Je78k8ccsQ1dSH1L36TglhnnjTXzrq03xFST25Z98GGVrMvsLxopY5EOGjdXU+DKQQfMV9P7J6SEubczRyWyqQCTJMEMBwOsWWI9p8HUVKnD5A4cz8smjVX0RuT+/u3lvdpXNwn2JJOx60UBEOO7KqDj11FbLtDLKiA41Hn6uZ99NKnd19kvJKkmCERslvWOOB4nlVKklGLZD5Gmi5+l3drayP1UE7sJCG0llVGfq9fcXIC8MczWtXGwxFZGK3DHq8PErOznKOJERWck6cqFAzgDhWMbMkt1v7RrwL9GDSa9YzGJNB6lpBy06s8+GcZrat1t4lvYDKkUsSaiqdaukuoxpkUegQeHsrksIxjRWCIcj228tvhCHBLhWVR9oq33seiACWPJQrZxivW7qZtIyR9sF8eAdmcD1cGFLLu5CzMSrYY6mQSOImJOSWiDaGyeeRx7807vr1IY2kkOEXixwTgZ5kKCcDmT3AZOADXcWMy332dZwXVkLNYkuC7CRYQBm30NraUL4OFwzcc59deqabbltH2ojWHVECCT6S0AXqyS6mEEp2TJnWfHHOndfK8Ylmul7HPU5iUtJS145mFFFJQC0UUUAA1U92tvf8Aom1ZeuBFnd8dQGdLZJDYHPSWYEDuYGrZTbaGzo50KSoHU9x8fEHmD6xXfY3flp5aynzLxlpZf7nfixSEy/SrcppLDEyZPDIAGc5Phiqt0V7S2pdPNc3x020oBgjKBTknIKDGoIF4ZbnkEeNZ7tLowtzG/U6xLg6NT5XV3A8M4PLn31bOjPpSCxLZXcM4nt105SF5cxrgKWVAWUgFRnBB4HNfU293TuE3B8jeMlLka3ioLc7eNry3aSSMROsssTIGzgxuV8+XCqhvp00RQKYbWOaS6cdgPBJGFz9lisihm8QAOPjWZ7Ja+2XJBJ9KeJbuUCcAB9JLDLMrhkZ9JJzjmCK3c4xai3uycn0pdXSRozyMqIoJZmICgDmSTyFYDsi+F7tu9vIgepPZVsc+EaqfUSIy371SHTTsWaL6GZ7y5nhklKS6iiqCNJUrHGioDp18weVcra7SCMRWyBEHeeJJ7yfE+s15/EarjT8OK3l+hSb2wWKSYKMsQB66i7vbq8Qg1es8vLmah5ZixyxJPrrxXz0LdLdmSRU9p7l5LtE3iQhHf6IOeXhUG+7VyIY5jC/VSsUjfHBmGoFR6xpbyNaOzYBPgM+XGpTa8OjY2w072ZpfOKVz/wDKPOvorW4nKEnLobRexndruFI9rdzmRAbTqi6YJYrJjDAjhgDVn9k1ZtlbOEEQjU5xkk+JPM/l5VY9xYFkvLq1k+xeWbKf2kbGfaFlJ91M92Nm64gZeLRlo2X/AJodDZPtGffWN9VboRm+REntkS02QZgdQwh4H1jvAqah3yvLGwa3MPWCJNEd0rrlI+SPJCRl2QY4Dg2nu508ArxcSaUZvRUnyBNePb8QqUp7cn0MlNotF5vbBa7M1/TUmcQkRyFkZ5ZdJ6siNT2mLEdnz7zUbddKIaxWSK2naV3+j6XVURbkqco7FuAGCeA48PGqw1kqW+wl0jUYJ5T2RnJiiYEn1GWvUdqXttrQoO3E1vfQjvLKoLgD1mBh+/X0zr/iuilvpyb53wdNhbMFvbxxcCVUBiBjLd5p/XK2uBIiuvFXUMPYQCPzrrXxVRycm5c8nN8xKWkpaoQFJS0UAUUUUAlFLSZoAqO6LU17wbQk/wBuIIPVloh/4GvdzthF4DtH1cvea6dAw6ybadwfvyovkZWP9Q8q97g9NqcpPsa01uQ+992q7zSs2exboOHiY1+aoTf6/M1qcKAEZWHjz05z+9Tve6XXvFenuRETySEf2NN9qW+uGRfFGx7cZHxArqusK6jPtgtL8xoPSTa/T920nXiyxwXI/hHWfyu/lWe7Lu+thjf0lGfbyb4g1pvQ9dLd7Cjik7QXrYHHiuWwPw5APdWSbEtmt5bm0k+1bysvtGSM+w4B/errv4aqeexaa2JiiiivDMhht250W0rd+kgfvdn+9eNm70XO0ntomiRYrSJlj6tWA4qiZZmJGcL6u+p2x2a0vqXvJ/IeNWG1tFjXSowP+86v51UaUqaWWxqwsFZ2/uSZ4lCSBJFJyxzgqRhl4ce4e2pDdHdw2UBjMmss2rgMAcAMDPHuqcorz5XVWVPwm9iup4wJUPvhf9TYzt3lCg9r9kfnn3VM1zngV1Kuqsp5hgCD7QeFY0pKM1J8kyEVjYG+J2lcw4h6qOztjEo168lmiGSdIAOI+VdN6tkXjyK9lM0RaMxS6ZTGWXVqXivMZLVY4LdUGEVVHgqhR5Culd1TiEnX8eCxtjcs575RGbt7Ne3tYopGDMgIyM4xkkAZ54GBUlS0VwTm5ycnzZXmJS0lLVCApKWkoBaKKKAjr/a4jJUAlh48By+NQ1zfvJ9o8PAcB5U/3gg4q3jwP5j8/hURXoUYR05SLpHO4nCIzHkoJ8hmrB0Mb02Vls5/pN1DHJLM7lS3aChVVcqMnuY++qTvdMVtW0/eKg+ocz+QHvqgqhJwASfAca+g4fHEHL3NYGixX63O0toXCHUjynQ3HimptJ48eSipOoLdHZzRQtrXSXbODzwAAMju76na4LualWbRWT3KI+8N3addbQXEsURkYlY2K5PAAkrx+yF7+6vO6125uwSSxcMGJJJPDOSTz4gVcrnYkUzZeMM3jg5+FPbHd4oP1cIQezGfaTxNdVS/pum443wS5rB5qW2fsXOGk4DuXvPt8KebP2SE4txb4D2f5qQr5+pX6RMmxFXAwOGKWiiuQqFFFFAFFFFAFFFFAFFFFAJS0lLQBRRRQBRRRQDTasGqJvEcR7v/AKzVZVc8uPsq4EUioByAHs4flW9OtoWCUyrpsuRhjQcH0hgfGnNvu2R6CewcfgBVgpRVncz5IamRUewEH2mY+zAp1HsuNfuD35P506paydST5sZZ5VAOQA9gxXqiisyAooooAooooAooooBKWiigCiiigCkpaKASlpKWgCkNLRQFy+pUXpyea/LR9SovTk81+Wkor7byFv6EdWiPYX6lRenJ5r8tH1Ki9OTzX5aSinkLb0IaI9hfqVF6cnmvy0fUqL05PNfloop5C39CGiPYPqVF6cnmvy0fUqL05PNflpKKeQtvQhoj2PX1Ki9OTzX5aT6lRenJ5r8tFFPIW/oQ0R7B9SovTk81+Wj6lRenJ5r8tJRTyFv6ENEewv1Ki9OTzX5aPqVF6cnmvy0lFPIW/oQ0R7C/UqL05PNflo+pUXpyea/LSUU8hb+hDRHsL9SovTk81+Wj6lRenJ5r8tJRTyFt6ENEewv1Ki9OTzX5aPqVF6cnmvy0lFPIW/oQ0R7C/UqL05PNflo+pUXpyea/LSUU8hbehDRHsL9SovTk81+Wj6lRenJ5r8tJRTyFv6ENEewv1Ki9OTzX5aPqVF6cnmvy0lFPIW3oQ0R7H//Z"/>
        <xdr:cNvSpPr>
          <a:spLocks noChangeAspect="1" noChangeArrowheads="1"/>
        </xdr:cNvSpPr>
      </xdr:nvSpPr>
      <xdr:spPr bwMode="auto">
        <a:xfrm>
          <a:off x="5610225" y="0"/>
          <a:ext cx="1962150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1371600</xdr:colOff>
      <xdr:row>4</xdr:row>
      <xdr:rowOff>85725</xdr:rowOff>
    </xdr:from>
    <xdr:to>
      <xdr:col>8</xdr:col>
      <xdr:colOff>647700</xdr:colOff>
      <xdr:row>7</xdr:row>
      <xdr:rowOff>19050</xdr:rowOff>
    </xdr:to>
    <xdr:sp macro="" textlink="">
      <xdr:nvSpPr>
        <xdr:cNvPr id="16" name="Plaque 15">
          <a:hlinkClick xmlns:r="http://schemas.openxmlformats.org/officeDocument/2006/relationships" r:id="rId1"/>
        </xdr:cNvPr>
        <xdr:cNvSpPr/>
      </xdr:nvSpPr>
      <xdr:spPr>
        <a:xfrm>
          <a:off x="2333625" y="3895725"/>
          <a:ext cx="4686300" cy="609600"/>
        </a:xfrm>
        <a:prstGeom prst="bevel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ENTREZ dans </a:t>
          </a:r>
          <a:r>
            <a:rPr lang="fr-FR" sz="2400" b="1" i="1"/>
            <a:t>ALIM'ovins</a:t>
          </a:r>
        </a:p>
      </xdr:txBody>
    </xdr:sp>
    <xdr:clientData/>
  </xdr:twoCellAnchor>
  <xdr:twoCellAnchor editAs="oneCell">
    <xdr:from>
      <xdr:col>1</xdr:col>
      <xdr:colOff>19049</xdr:colOff>
      <xdr:row>4</xdr:row>
      <xdr:rowOff>85725</xdr:rowOff>
    </xdr:from>
    <xdr:to>
      <xdr:col>2</xdr:col>
      <xdr:colOff>1361016</xdr:colOff>
      <xdr:row>10</xdr:row>
      <xdr:rowOff>114300</xdr:rowOff>
    </xdr:to>
    <xdr:pic>
      <xdr:nvPicPr>
        <xdr:cNvPr id="19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4" y="3895725"/>
          <a:ext cx="2103967" cy="13525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8</xdr:col>
      <xdr:colOff>652991</xdr:colOff>
      <xdr:row>4</xdr:row>
      <xdr:rowOff>122463</xdr:rowOff>
    </xdr:from>
    <xdr:to>
      <xdr:col>11</xdr:col>
      <xdr:colOff>133350</xdr:colOff>
      <xdr:row>10</xdr:row>
      <xdr:rowOff>209549</xdr:rowOff>
    </xdr:to>
    <xdr:pic>
      <xdr:nvPicPr>
        <xdr:cNvPr id="20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H="1">
          <a:off x="7025216" y="4065813"/>
          <a:ext cx="2194984" cy="1411061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1</xdr:col>
      <xdr:colOff>136071</xdr:colOff>
      <xdr:row>0</xdr:row>
      <xdr:rowOff>223546</xdr:rowOff>
    </xdr:from>
    <xdr:to>
      <xdr:col>10</xdr:col>
      <xdr:colOff>1001704</xdr:colOff>
      <xdr:row>1</xdr:row>
      <xdr:rowOff>1304567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509" y="1414171"/>
          <a:ext cx="8565008" cy="1374709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2</xdr:row>
      <xdr:rowOff>54509</xdr:rowOff>
    </xdr:from>
    <xdr:to>
      <xdr:col>2</xdr:col>
      <xdr:colOff>603249</xdr:colOff>
      <xdr:row>2</xdr:row>
      <xdr:rowOff>515937</xdr:rowOff>
    </xdr:to>
    <xdr:pic>
      <xdr:nvPicPr>
        <xdr:cNvPr id="11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2983447"/>
          <a:ext cx="1341437" cy="461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396874</xdr:colOff>
      <xdr:row>2</xdr:row>
      <xdr:rowOff>33461</xdr:rowOff>
    </xdr:from>
    <xdr:to>
      <xdr:col>10</xdr:col>
      <xdr:colOff>1119187</xdr:colOff>
      <xdr:row>2</xdr:row>
      <xdr:rowOff>533400</xdr:rowOff>
    </xdr:to>
    <xdr:pic>
      <xdr:nvPicPr>
        <xdr:cNvPr id="12" name="Image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4687" y="2962399"/>
          <a:ext cx="722313" cy="499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452437</xdr:colOff>
      <xdr:row>0</xdr:row>
      <xdr:rowOff>90941</xdr:rowOff>
    </xdr:from>
    <xdr:to>
      <xdr:col>10</xdr:col>
      <xdr:colOff>1174750</xdr:colOff>
      <xdr:row>1</xdr:row>
      <xdr:rowOff>625475</xdr:rowOff>
    </xdr:to>
    <xdr:pic>
      <xdr:nvPicPr>
        <xdr:cNvPr id="9" name="Image 8" descr="logo_reconquete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219"/>
        <a:stretch/>
      </xdr:blipFill>
      <xdr:spPr bwMode="auto">
        <a:xfrm>
          <a:off x="8504237" y="90941"/>
          <a:ext cx="722313" cy="826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1</xdr:row>
      <xdr:rowOff>219075</xdr:rowOff>
    </xdr:from>
    <xdr:to>
      <xdr:col>10</xdr:col>
      <xdr:colOff>304800</xdr:colOff>
      <xdr:row>3</xdr:row>
      <xdr:rowOff>28575</xdr:rowOff>
    </xdr:to>
    <xdr:pic>
      <xdr:nvPicPr>
        <xdr:cNvPr id="5122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0" y="219075"/>
          <a:ext cx="1333500" cy="8572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8</xdr:col>
      <xdr:colOff>31202</xdr:colOff>
      <xdr:row>5</xdr:row>
      <xdr:rowOff>95250</xdr:rowOff>
    </xdr:from>
    <xdr:to>
      <xdr:col>9</xdr:col>
      <xdr:colOff>155027</xdr:colOff>
      <xdr:row>7</xdr:row>
      <xdr:rowOff>47625</xdr:rowOff>
    </xdr:to>
    <xdr:sp macro="" textlink="">
      <xdr:nvSpPr>
        <xdr:cNvPr id="2" name="Plaque 1">
          <a:hlinkClick xmlns:r="http://schemas.openxmlformats.org/officeDocument/2006/relationships" r:id="rId2"/>
        </xdr:cNvPr>
        <xdr:cNvSpPr/>
      </xdr:nvSpPr>
      <xdr:spPr>
        <a:xfrm>
          <a:off x="5935060" y="1532211"/>
          <a:ext cx="887467" cy="239767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RATION</a:t>
          </a:r>
        </a:p>
      </xdr:txBody>
    </xdr:sp>
    <xdr:clientData/>
  </xdr:twoCellAnchor>
  <xdr:twoCellAnchor>
    <xdr:from>
      <xdr:col>8</xdr:col>
      <xdr:colOff>28576</xdr:colOff>
      <xdr:row>11</xdr:row>
      <xdr:rowOff>190500</xdr:rowOff>
    </xdr:from>
    <xdr:to>
      <xdr:col>9</xdr:col>
      <xdr:colOff>152400</xdr:colOff>
      <xdr:row>13</xdr:row>
      <xdr:rowOff>66675</xdr:rowOff>
    </xdr:to>
    <xdr:sp macro="" textlink="">
      <xdr:nvSpPr>
        <xdr:cNvPr id="14" name="Plaque 13">
          <a:hlinkClick xmlns:r="http://schemas.openxmlformats.org/officeDocument/2006/relationships" r:id="rId3"/>
        </xdr:cNvPr>
        <xdr:cNvSpPr/>
      </xdr:nvSpPr>
      <xdr:spPr>
        <a:xfrm>
          <a:off x="4743451" y="3267075"/>
          <a:ext cx="885824" cy="27622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COUT</a:t>
          </a:r>
        </a:p>
      </xdr:txBody>
    </xdr:sp>
    <xdr:clientData/>
  </xdr:twoCellAnchor>
  <xdr:twoCellAnchor>
    <xdr:from>
      <xdr:col>9</xdr:col>
      <xdr:colOff>428625</xdr:colOff>
      <xdr:row>11</xdr:row>
      <xdr:rowOff>190500</xdr:rowOff>
    </xdr:from>
    <xdr:to>
      <xdr:col>9</xdr:col>
      <xdr:colOff>695325</xdr:colOff>
      <xdr:row>13</xdr:row>
      <xdr:rowOff>66675</xdr:rowOff>
    </xdr:to>
    <xdr:sp macro="[0]!messageCout" textlink="">
      <xdr:nvSpPr>
        <xdr:cNvPr id="15" name="Ellipse 14"/>
        <xdr:cNvSpPr/>
      </xdr:nvSpPr>
      <xdr:spPr>
        <a:xfrm>
          <a:off x="5905500" y="3076575"/>
          <a:ext cx="266700" cy="27622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8</xdr:col>
      <xdr:colOff>31203</xdr:colOff>
      <xdr:row>9</xdr:row>
      <xdr:rowOff>0</xdr:rowOff>
    </xdr:from>
    <xdr:to>
      <xdr:col>9</xdr:col>
      <xdr:colOff>135978</xdr:colOff>
      <xdr:row>10</xdr:row>
      <xdr:rowOff>76200</xdr:rowOff>
    </xdr:to>
    <xdr:sp macro="" textlink="">
      <xdr:nvSpPr>
        <xdr:cNvPr id="29" name="Plaque 28">
          <a:hlinkClick xmlns:r="http://schemas.openxmlformats.org/officeDocument/2006/relationships" r:id="rId4"/>
        </xdr:cNvPr>
        <xdr:cNvSpPr/>
      </xdr:nvSpPr>
      <xdr:spPr>
        <a:xfrm>
          <a:off x="5935061" y="2028168"/>
          <a:ext cx="868417" cy="256847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BILAN</a:t>
          </a:r>
        </a:p>
      </xdr:txBody>
    </xdr:sp>
    <xdr:clientData/>
  </xdr:twoCellAnchor>
  <xdr:twoCellAnchor>
    <xdr:from>
      <xdr:col>9</xdr:col>
      <xdr:colOff>428625</xdr:colOff>
      <xdr:row>8</xdr:row>
      <xdr:rowOff>190499</xdr:rowOff>
    </xdr:from>
    <xdr:to>
      <xdr:col>9</xdr:col>
      <xdr:colOff>714375</xdr:colOff>
      <xdr:row>10</xdr:row>
      <xdr:rowOff>85724</xdr:rowOff>
    </xdr:to>
    <xdr:sp macro="[0]!messageBilan" textlink="">
      <xdr:nvSpPr>
        <xdr:cNvPr id="31" name="Ellipse 30"/>
        <xdr:cNvSpPr/>
      </xdr:nvSpPr>
      <xdr:spPr>
        <a:xfrm>
          <a:off x="5905500" y="2505074"/>
          <a:ext cx="285750" cy="27622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8</xdr:col>
      <xdr:colOff>19050</xdr:colOff>
      <xdr:row>17</xdr:row>
      <xdr:rowOff>171452</xdr:rowOff>
    </xdr:from>
    <xdr:to>
      <xdr:col>9</xdr:col>
      <xdr:colOff>161926</xdr:colOff>
      <xdr:row>19</xdr:row>
      <xdr:rowOff>66676</xdr:rowOff>
    </xdr:to>
    <xdr:sp macro="" textlink="">
      <xdr:nvSpPr>
        <xdr:cNvPr id="30" name="Plaque 29">
          <a:hlinkClick xmlns:r="http://schemas.openxmlformats.org/officeDocument/2006/relationships" r:id="rId5"/>
        </xdr:cNvPr>
        <xdr:cNvSpPr/>
      </xdr:nvSpPr>
      <xdr:spPr>
        <a:xfrm>
          <a:off x="4733925" y="3838577"/>
          <a:ext cx="904876" cy="276224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ALIMENTS</a:t>
          </a:r>
        </a:p>
      </xdr:txBody>
    </xdr:sp>
    <xdr:clientData/>
  </xdr:twoCellAnchor>
  <xdr:twoCellAnchor>
    <xdr:from>
      <xdr:col>9</xdr:col>
      <xdr:colOff>419100</xdr:colOff>
      <xdr:row>17</xdr:row>
      <xdr:rowOff>180975</xdr:rowOff>
    </xdr:from>
    <xdr:to>
      <xdr:col>9</xdr:col>
      <xdr:colOff>685800</xdr:colOff>
      <xdr:row>19</xdr:row>
      <xdr:rowOff>76200</xdr:rowOff>
    </xdr:to>
    <xdr:sp macro="[0]!messageAliment" textlink="">
      <xdr:nvSpPr>
        <xdr:cNvPr id="33" name="Ellipse 32"/>
        <xdr:cNvSpPr/>
      </xdr:nvSpPr>
      <xdr:spPr>
        <a:xfrm>
          <a:off x="5895975" y="3657600"/>
          <a:ext cx="266700" cy="27622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6</xdr:col>
      <xdr:colOff>1732565</xdr:colOff>
      <xdr:row>6</xdr:row>
      <xdr:rowOff>114957</xdr:rowOff>
    </xdr:from>
    <xdr:to>
      <xdr:col>7</xdr:col>
      <xdr:colOff>57150</xdr:colOff>
      <xdr:row>6</xdr:row>
      <xdr:rowOff>115095</xdr:rowOff>
    </xdr:to>
    <xdr:cxnSp macro="">
      <xdr:nvCxnSpPr>
        <xdr:cNvPr id="22" name="Connecteur droit avec flèche 21"/>
        <xdr:cNvCxnSpPr/>
      </xdr:nvCxnSpPr>
      <xdr:spPr>
        <a:xfrm>
          <a:off x="4713233" y="1650453"/>
          <a:ext cx="426654" cy="13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390524</xdr:colOff>
      <xdr:row>24</xdr:row>
      <xdr:rowOff>3283</xdr:rowOff>
    </xdr:from>
    <xdr:to>
      <xdr:col>9</xdr:col>
      <xdr:colOff>666749</xdr:colOff>
      <xdr:row>25</xdr:row>
      <xdr:rowOff>82111</xdr:rowOff>
    </xdr:to>
    <xdr:sp macro="[0]!messageAgneau" textlink="">
      <xdr:nvSpPr>
        <xdr:cNvPr id="21" name="Ellipse 20"/>
        <xdr:cNvSpPr/>
      </xdr:nvSpPr>
      <xdr:spPr>
        <a:xfrm>
          <a:off x="5875610" y="4552292"/>
          <a:ext cx="276225" cy="26768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9</xdr:col>
      <xdr:colOff>390524</xdr:colOff>
      <xdr:row>26</xdr:row>
      <xdr:rowOff>114299</xdr:rowOff>
    </xdr:from>
    <xdr:to>
      <xdr:col>9</xdr:col>
      <xdr:colOff>666749</xdr:colOff>
      <xdr:row>28</xdr:row>
      <xdr:rowOff>73900</xdr:rowOff>
    </xdr:to>
    <xdr:sp macro="[0]!messagePature" textlink="">
      <xdr:nvSpPr>
        <xdr:cNvPr id="24" name="Ellipse 23"/>
        <xdr:cNvSpPr/>
      </xdr:nvSpPr>
      <xdr:spPr>
        <a:xfrm>
          <a:off x="5875610" y="5024601"/>
          <a:ext cx="276225" cy="26341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8</xdr:col>
      <xdr:colOff>8211</xdr:colOff>
      <xdr:row>26</xdr:row>
      <xdr:rowOff>114300</xdr:rowOff>
    </xdr:from>
    <xdr:to>
      <xdr:col>9</xdr:col>
      <xdr:colOff>151087</xdr:colOff>
      <xdr:row>28</xdr:row>
      <xdr:rowOff>57149</xdr:rowOff>
    </xdr:to>
    <xdr:sp macro="" textlink="">
      <xdr:nvSpPr>
        <xdr:cNvPr id="25" name="Plaque 24">
          <a:hlinkClick xmlns:r="http://schemas.openxmlformats.org/officeDocument/2006/relationships" r:id="rId6"/>
        </xdr:cNvPr>
        <xdr:cNvSpPr/>
      </xdr:nvSpPr>
      <xdr:spPr>
        <a:xfrm>
          <a:off x="5912069" y="4942490"/>
          <a:ext cx="906518" cy="246663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PATURAGE</a:t>
          </a:r>
        </a:p>
      </xdr:txBody>
    </xdr:sp>
    <xdr:clientData/>
  </xdr:twoCellAnchor>
  <xdr:twoCellAnchor>
    <xdr:from>
      <xdr:col>8</xdr:col>
      <xdr:colOff>8212</xdr:colOff>
      <xdr:row>24</xdr:row>
      <xdr:rowOff>903</xdr:rowOff>
    </xdr:from>
    <xdr:to>
      <xdr:col>9</xdr:col>
      <xdr:colOff>151088</xdr:colOff>
      <xdr:row>25</xdr:row>
      <xdr:rowOff>64293</xdr:rowOff>
    </xdr:to>
    <xdr:sp macro="" textlink="">
      <xdr:nvSpPr>
        <xdr:cNvPr id="26" name="Plaque 25">
          <a:hlinkClick xmlns:r="http://schemas.openxmlformats.org/officeDocument/2006/relationships" r:id="rId7"/>
        </xdr:cNvPr>
        <xdr:cNvSpPr/>
      </xdr:nvSpPr>
      <xdr:spPr>
        <a:xfrm>
          <a:off x="5912070" y="4467800"/>
          <a:ext cx="906518" cy="252247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AGNEAUX</a:t>
          </a:r>
        </a:p>
      </xdr:txBody>
    </xdr:sp>
    <xdr:clientData/>
  </xdr:twoCellAnchor>
  <xdr:twoCellAnchor>
    <xdr:from>
      <xdr:col>8</xdr:col>
      <xdr:colOff>19050</xdr:colOff>
      <xdr:row>20</xdr:row>
      <xdr:rowOff>171452</xdr:rowOff>
    </xdr:from>
    <xdr:to>
      <xdr:col>9</xdr:col>
      <xdr:colOff>161926</xdr:colOff>
      <xdr:row>22</xdr:row>
      <xdr:rowOff>66676</xdr:rowOff>
    </xdr:to>
    <xdr:sp macro="" textlink="">
      <xdr:nvSpPr>
        <xdr:cNvPr id="16" name="Plaque 15">
          <a:hlinkClick xmlns:r="http://schemas.openxmlformats.org/officeDocument/2006/relationships" r:id="rId8"/>
        </xdr:cNvPr>
        <xdr:cNvSpPr/>
      </xdr:nvSpPr>
      <xdr:spPr>
        <a:xfrm>
          <a:off x="4733925" y="3609977"/>
          <a:ext cx="904876" cy="266699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FOURRAGES</a:t>
          </a:r>
        </a:p>
      </xdr:txBody>
    </xdr:sp>
    <xdr:clientData/>
  </xdr:twoCellAnchor>
  <xdr:twoCellAnchor>
    <xdr:from>
      <xdr:col>9</xdr:col>
      <xdr:colOff>419100</xdr:colOff>
      <xdr:row>20</xdr:row>
      <xdr:rowOff>180975</xdr:rowOff>
    </xdr:from>
    <xdr:to>
      <xdr:col>9</xdr:col>
      <xdr:colOff>685800</xdr:colOff>
      <xdr:row>22</xdr:row>
      <xdr:rowOff>76200</xdr:rowOff>
    </xdr:to>
    <xdr:sp macro="[0]!messageFourr" textlink="">
      <xdr:nvSpPr>
        <xdr:cNvPr id="17" name="Ellipse 16"/>
        <xdr:cNvSpPr/>
      </xdr:nvSpPr>
      <xdr:spPr>
        <a:xfrm>
          <a:off x="5895975" y="3619500"/>
          <a:ext cx="266700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9</xdr:col>
      <xdr:colOff>419100</xdr:colOff>
      <xdr:row>5</xdr:row>
      <xdr:rowOff>167640</xdr:rowOff>
    </xdr:from>
    <xdr:to>
      <xdr:col>9</xdr:col>
      <xdr:colOff>704850</xdr:colOff>
      <xdr:row>7</xdr:row>
      <xdr:rowOff>62865</xdr:rowOff>
    </xdr:to>
    <xdr:sp macro="[0]!messageRation" textlink="">
      <xdr:nvSpPr>
        <xdr:cNvPr id="19" name="Ellipse 18"/>
        <xdr:cNvSpPr/>
      </xdr:nvSpPr>
      <xdr:spPr>
        <a:xfrm>
          <a:off x="6073140" y="1889760"/>
          <a:ext cx="285750" cy="26860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2</xdr:col>
      <xdr:colOff>247650</xdr:colOff>
      <xdr:row>28</xdr:row>
      <xdr:rowOff>165221</xdr:rowOff>
    </xdr:from>
    <xdr:to>
      <xdr:col>3</xdr:col>
      <xdr:colOff>28575</xdr:colOff>
      <xdr:row>30</xdr:row>
      <xdr:rowOff>180975</xdr:rowOff>
    </xdr:to>
    <xdr:pic>
      <xdr:nvPicPr>
        <xdr:cNvPr id="20" name="Image 19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9271" b="9314"/>
        <a:stretch/>
      </xdr:blipFill>
      <xdr:spPr>
        <a:xfrm>
          <a:off x="876300" y="5651621"/>
          <a:ext cx="628650" cy="568204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</xdr:row>
      <xdr:rowOff>19050</xdr:rowOff>
    </xdr:from>
    <xdr:to>
      <xdr:col>2</xdr:col>
      <xdr:colOff>600075</xdr:colOff>
      <xdr:row>2</xdr:row>
      <xdr:rowOff>276225</xdr:rowOff>
    </xdr:to>
    <xdr:sp macro="" textlink="">
      <xdr:nvSpPr>
        <xdr:cNvPr id="27" name="Plaque 26">
          <a:hlinkClick xmlns:r="http://schemas.openxmlformats.org/officeDocument/2006/relationships" r:id="rId10"/>
        </xdr:cNvPr>
        <xdr:cNvSpPr/>
      </xdr:nvSpPr>
      <xdr:spPr>
        <a:xfrm>
          <a:off x="342900" y="895350"/>
          <a:ext cx="885825" cy="25717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8</xdr:col>
      <xdr:colOff>28576</xdr:colOff>
      <xdr:row>14</xdr:row>
      <xdr:rowOff>171451</xdr:rowOff>
    </xdr:from>
    <xdr:to>
      <xdr:col>9</xdr:col>
      <xdr:colOff>152400</xdr:colOff>
      <xdr:row>16</xdr:row>
      <xdr:rowOff>76201</xdr:rowOff>
    </xdr:to>
    <xdr:sp macro="" textlink="">
      <xdr:nvSpPr>
        <xdr:cNvPr id="32" name="Plaque 31">
          <a:hlinkClick xmlns:r="http://schemas.openxmlformats.org/officeDocument/2006/relationships" r:id="rId11"/>
        </xdr:cNvPr>
        <xdr:cNvSpPr/>
      </xdr:nvSpPr>
      <xdr:spPr>
        <a:xfrm>
          <a:off x="4752976" y="3166111"/>
          <a:ext cx="885824" cy="255270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PREVISION</a:t>
          </a:r>
        </a:p>
      </xdr:txBody>
    </xdr:sp>
    <xdr:clientData/>
  </xdr:twoCellAnchor>
  <xdr:twoCellAnchor>
    <xdr:from>
      <xdr:col>9</xdr:col>
      <xdr:colOff>428625</xdr:colOff>
      <xdr:row>14</xdr:row>
      <xdr:rowOff>133351</xdr:rowOff>
    </xdr:from>
    <xdr:to>
      <xdr:col>9</xdr:col>
      <xdr:colOff>695325</xdr:colOff>
      <xdr:row>16</xdr:row>
      <xdr:rowOff>68581</xdr:rowOff>
    </xdr:to>
    <xdr:sp macro="[0]!MessPrev" textlink="">
      <xdr:nvSpPr>
        <xdr:cNvPr id="34" name="Ellipse 33"/>
        <xdr:cNvSpPr/>
      </xdr:nvSpPr>
      <xdr:spPr>
        <a:xfrm>
          <a:off x="5915025" y="3112771"/>
          <a:ext cx="266700" cy="27051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119672</xdr:colOff>
      <xdr:row>9</xdr:row>
      <xdr:rowOff>91253</xdr:rowOff>
    </xdr:from>
    <xdr:to>
      <xdr:col>3</xdr:col>
      <xdr:colOff>123482</xdr:colOff>
      <xdr:row>10</xdr:row>
      <xdr:rowOff>136973</xdr:rowOff>
    </xdr:to>
    <xdr:cxnSp macro="">
      <xdr:nvCxnSpPr>
        <xdr:cNvPr id="59" name="Connecteur droit avec flèche 58"/>
        <xdr:cNvCxnSpPr/>
      </xdr:nvCxnSpPr>
      <xdr:spPr>
        <a:xfrm>
          <a:off x="3539303" y="3128323"/>
          <a:ext cx="3810" cy="350207"/>
        </a:xfrm>
        <a:prstGeom prst="straightConnector1">
          <a:avLst/>
        </a:prstGeom>
        <a:ln w="41275">
          <a:solidFill>
            <a:srgbClr val="C00000"/>
          </a:solidFill>
          <a:headEnd type="none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115082</xdr:colOff>
      <xdr:row>8</xdr:row>
      <xdr:rowOff>27482</xdr:rowOff>
    </xdr:from>
    <xdr:to>
      <xdr:col>3</xdr:col>
      <xdr:colOff>87354</xdr:colOff>
      <xdr:row>9</xdr:row>
      <xdr:rowOff>118235</xdr:rowOff>
    </xdr:to>
    <xdr:pic>
      <xdr:nvPicPr>
        <xdr:cNvPr id="60" name="Image 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6271" y="2658568"/>
          <a:ext cx="440714" cy="496737"/>
        </a:xfrm>
        <a:prstGeom prst="rect">
          <a:avLst/>
        </a:prstGeom>
      </xdr:spPr>
    </xdr:pic>
    <xdr:clientData/>
  </xdr:twoCellAnchor>
  <xdr:twoCellAnchor>
    <xdr:from>
      <xdr:col>1</xdr:col>
      <xdr:colOff>104773</xdr:colOff>
      <xdr:row>4</xdr:row>
      <xdr:rowOff>33777</xdr:rowOff>
    </xdr:from>
    <xdr:to>
      <xdr:col>1</xdr:col>
      <xdr:colOff>844415</xdr:colOff>
      <xdr:row>4</xdr:row>
      <xdr:rowOff>304407</xdr:rowOff>
    </xdr:to>
    <xdr:sp macro="" textlink="">
      <xdr:nvSpPr>
        <xdr:cNvPr id="61" name="Plaque 60">
          <a:hlinkClick xmlns:r="http://schemas.openxmlformats.org/officeDocument/2006/relationships" r:id="rId2"/>
        </xdr:cNvPr>
        <xdr:cNvSpPr/>
      </xdr:nvSpPr>
      <xdr:spPr>
        <a:xfrm>
          <a:off x="310984" y="1369241"/>
          <a:ext cx="739642" cy="270630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14</xdr:col>
      <xdr:colOff>281630</xdr:colOff>
      <xdr:row>4</xdr:row>
      <xdr:rowOff>36884</xdr:rowOff>
    </xdr:from>
    <xdr:to>
      <xdr:col>14</xdr:col>
      <xdr:colOff>551842</xdr:colOff>
      <xdr:row>4</xdr:row>
      <xdr:rowOff>303898</xdr:rowOff>
    </xdr:to>
    <xdr:sp macro="[0]!message13" textlink="">
      <xdr:nvSpPr>
        <xdr:cNvPr id="62" name="Ellipse 61"/>
        <xdr:cNvSpPr/>
      </xdr:nvSpPr>
      <xdr:spPr>
        <a:xfrm>
          <a:off x="8673155" y="1360859"/>
          <a:ext cx="270212" cy="267014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12</xdr:col>
      <xdr:colOff>1012714</xdr:colOff>
      <xdr:row>1</xdr:row>
      <xdr:rowOff>38100</xdr:rowOff>
    </xdr:from>
    <xdr:to>
      <xdr:col>14</xdr:col>
      <xdr:colOff>573871</xdr:colOff>
      <xdr:row>2</xdr:row>
      <xdr:rowOff>285750</xdr:rowOff>
    </xdr:to>
    <xdr:pic>
      <xdr:nvPicPr>
        <xdr:cNvPr id="63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575439" y="171450"/>
          <a:ext cx="1389957" cy="923925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1</xdr:col>
      <xdr:colOff>1932022</xdr:colOff>
      <xdr:row>4</xdr:row>
      <xdr:rowOff>33776</xdr:rowOff>
    </xdr:from>
    <xdr:to>
      <xdr:col>2</xdr:col>
      <xdr:colOff>359139</xdr:colOff>
      <xdr:row>4</xdr:row>
      <xdr:rowOff>324046</xdr:rowOff>
    </xdr:to>
    <xdr:sp macro="[0]!ValFourr" textlink="">
      <xdr:nvSpPr>
        <xdr:cNvPr id="64" name="Plaque 63">
          <a:hlinkClick xmlns:r="http://schemas.openxmlformats.org/officeDocument/2006/relationships" r:id="rId4"/>
        </xdr:cNvPr>
        <xdr:cNvSpPr/>
      </xdr:nvSpPr>
      <xdr:spPr>
        <a:xfrm>
          <a:off x="2142821" y="1361030"/>
          <a:ext cx="1167507" cy="290270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900" b="1"/>
            <a:t>RETOUR ALIMENTS </a:t>
          </a:r>
        </a:p>
      </xdr:txBody>
    </xdr:sp>
    <xdr:clientData/>
  </xdr:twoCellAnchor>
  <xdr:twoCellAnchor>
    <xdr:from>
      <xdr:col>1</xdr:col>
      <xdr:colOff>995879</xdr:colOff>
      <xdr:row>4</xdr:row>
      <xdr:rowOff>43909</xdr:rowOff>
    </xdr:from>
    <xdr:to>
      <xdr:col>1</xdr:col>
      <xdr:colOff>1735521</xdr:colOff>
      <xdr:row>4</xdr:row>
      <xdr:rowOff>314226</xdr:rowOff>
    </xdr:to>
    <xdr:sp macro="[0]!EffacePrev" textlink="">
      <xdr:nvSpPr>
        <xdr:cNvPr id="65" name="Plaque 64"/>
        <xdr:cNvSpPr/>
      </xdr:nvSpPr>
      <xdr:spPr>
        <a:xfrm>
          <a:off x="1202090" y="1379373"/>
          <a:ext cx="739642" cy="270317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oneCellAnchor>
    <xdr:from>
      <xdr:col>12</xdr:col>
      <xdr:colOff>643952</xdr:colOff>
      <xdr:row>8</xdr:row>
      <xdr:rowOff>319478</xdr:rowOff>
    </xdr:from>
    <xdr:ext cx="438997" cy="496581"/>
    <xdr:pic>
      <xdr:nvPicPr>
        <xdr:cNvPr id="66" name="Image 6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2149" y="2950564"/>
          <a:ext cx="438997" cy="496581"/>
        </a:xfrm>
        <a:prstGeom prst="rect">
          <a:avLst/>
        </a:prstGeom>
      </xdr:spPr>
    </xdr:pic>
    <xdr:clientData/>
  </xdr:oneCellAnchor>
  <xdr:twoCellAnchor>
    <xdr:from>
      <xdr:col>13</xdr:col>
      <xdr:colOff>323850</xdr:colOff>
      <xdr:row>9</xdr:row>
      <xdr:rowOff>180975</xdr:rowOff>
    </xdr:from>
    <xdr:to>
      <xdr:col>13</xdr:col>
      <xdr:colOff>331470</xdr:colOff>
      <xdr:row>11</xdr:row>
      <xdr:rowOff>20955</xdr:rowOff>
    </xdr:to>
    <xdr:cxnSp macro="">
      <xdr:nvCxnSpPr>
        <xdr:cNvPr id="67" name="Connecteur droit avec flèche 66"/>
        <xdr:cNvCxnSpPr/>
      </xdr:nvCxnSpPr>
      <xdr:spPr>
        <a:xfrm>
          <a:off x="8048625" y="3114675"/>
          <a:ext cx="7620" cy="297180"/>
        </a:xfrm>
        <a:prstGeom prst="straightConnector1">
          <a:avLst/>
        </a:prstGeom>
        <a:ln w="41275">
          <a:solidFill>
            <a:srgbClr val="C00000"/>
          </a:solidFill>
          <a:headEnd type="none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93345</xdr:colOff>
      <xdr:row>6</xdr:row>
      <xdr:rowOff>51435</xdr:rowOff>
    </xdr:from>
    <xdr:to>
      <xdr:col>3</xdr:col>
      <xdr:colOff>96362</xdr:colOff>
      <xdr:row>7</xdr:row>
      <xdr:rowOff>160813</xdr:rowOff>
    </xdr:to>
    <xdr:cxnSp macro="">
      <xdr:nvCxnSpPr>
        <xdr:cNvPr id="4" name="Connecteur droit avec flèche 3"/>
        <xdr:cNvCxnSpPr/>
      </xdr:nvCxnSpPr>
      <xdr:spPr>
        <a:xfrm>
          <a:off x="2693670" y="2223135"/>
          <a:ext cx="3017" cy="328453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104773</xdr:colOff>
      <xdr:row>3</xdr:row>
      <xdr:rowOff>57150</xdr:rowOff>
    </xdr:from>
    <xdr:to>
      <xdr:col>2</xdr:col>
      <xdr:colOff>9524</xdr:colOff>
      <xdr:row>3</xdr:row>
      <xdr:rowOff>314326</xdr:rowOff>
    </xdr:to>
    <xdr:sp macro="" textlink="">
      <xdr:nvSpPr>
        <xdr:cNvPr id="9" name="Plaque 8">
          <a:hlinkClick xmlns:r="http://schemas.openxmlformats.org/officeDocument/2006/relationships" r:id="rId1"/>
        </xdr:cNvPr>
        <xdr:cNvSpPr/>
      </xdr:nvSpPr>
      <xdr:spPr>
        <a:xfrm>
          <a:off x="333373" y="1295400"/>
          <a:ext cx="819151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161923</xdr:colOff>
      <xdr:row>3</xdr:row>
      <xdr:rowOff>57149</xdr:rowOff>
    </xdr:from>
    <xdr:to>
      <xdr:col>2</xdr:col>
      <xdr:colOff>1047750</xdr:colOff>
      <xdr:row>3</xdr:row>
      <xdr:rowOff>295274</xdr:rowOff>
    </xdr:to>
    <xdr:sp macro="[0]!effaceAnimal" textlink="">
      <xdr:nvSpPr>
        <xdr:cNvPr id="11" name="Plaque 10"/>
        <xdr:cNvSpPr/>
      </xdr:nvSpPr>
      <xdr:spPr>
        <a:xfrm>
          <a:off x="1304923" y="1295399"/>
          <a:ext cx="885827" cy="23812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2</xdr:col>
      <xdr:colOff>1209674</xdr:colOff>
      <xdr:row>3</xdr:row>
      <xdr:rowOff>47624</xdr:rowOff>
    </xdr:from>
    <xdr:to>
      <xdr:col>4</xdr:col>
      <xdr:colOff>419100</xdr:colOff>
      <xdr:row>3</xdr:row>
      <xdr:rowOff>323850</xdr:rowOff>
    </xdr:to>
    <xdr:sp macro="[0]!ValAnim" textlink="">
      <xdr:nvSpPr>
        <xdr:cNvPr id="13" name="Plaque 12">
          <a:hlinkClick xmlns:r="http://schemas.openxmlformats.org/officeDocument/2006/relationships" r:id="rId2"/>
        </xdr:cNvPr>
        <xdr:cNvSpPr/>
      </xdr:nvSpPr>
      <xdr:spPr>
        <a:xfrm>
          <a:off x="2352674" y="1285874"/>
          <a:ext cx="847726" cy="276226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14</xdr:col>
      <xdr:colOff>314325</xdr:colOff>
      <xdr:row>3</xdr:row>
      <xdr:rowOff>38100</xdr:rowOff>
    </xdr:from>
    <xdr:to>
      <xdr:col>14</xdr:col>
      <xdr:colOff>609600</xdr:colOff>
      <xdr:row>3</xdr:row>
      <xdr:rowOff>304800</xdr:rowOff>
    </xdr:to>
    <xdr:sp macro="[0]!message1" textlink="">
      <xdr:nvSpPr>
        <xdr:cNvPr id="7" name="Ellipse 6"/>
        <xdr:cNvSpPr/>
      </xdr:nvSpPr>
      <xdr:spPr>
        <a:xfrm>
          <a:off x="9410700" y="1276350"/>
          <a:ext cx="295275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12</xdr:col>
      <xdr:colOff>133350</xdr:colOff>
      <xdr:row>0</xdr:row>
      <xdr:rowOff>112938</xdr:rowOff>
    </xdr:from>
    <xdr:to>
      <xdr:col>14</xdr:col>
      <xdr:colOff>612775</xdr:colOff>
      <xdr:row>2</xdr:row>
      <xdr:rowOff>827</xdr:rowOff>
    </xdr:to>
    <xdr:pic>
      <xdr:nvPicPr>
        <xdr:cNvPr id="8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10550" y="112938"/>
          <a:ext cx="1498600" cy="964214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904875</xdr:colOff>
          <xdr:row>8</xdr:row>
          <xdr:rowOff>180975</xdr:rowOff>
        </xdr:from>
        <xdr:to>
          <xdr:col>2</xdr:col>
          <xdr:colOff>333375</xdr:colOff>
          <xdr:row>10</xdr:row>
          <xdr:rowOff>19050</xdr:rowOff>
        </xdr:to>
        <xdr:sp macro="" textlink="">
          <xdr:nvSpPr>
            <xdr:cNvPr id="18434" name="Spinner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523875</xdr:colOff>
          <xdr:row>4</xdr:row>
          <xdr:rowOff>104775</xdr:rowOff>
        </xdr:from>
        <xdr:to>
          <xdr:col>6</xdr:col>
          <xdr:colOff>57150</xdr:colOff>
          <xdr:row>4</xdr:row>
          <xdr:rowOff>342900</xdr:rowOff>
        </xdr:to>
        <xdr:sp macro="" textlink="">
          <xdr:nvSpPr>
            <xdr:cNvPr id="18436" name="Option Button 4" hidden="1">
              <a:extLst>
                <a:ext uri="{63B3BB69-23CF-44E3-9099-C40C66FF867C}">
                  <a14:compatExt spid="_x0000_s18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4</xdr:row>
          <xdr:rowOff>123825</xdr:rowOff>
        </xdr:from>
        <xdr:to>
          <xdr:col>2</xdr:col>
          <xdr:colOff>485775</xdr:colOff>
          <xdr:row>4</xdr:row>
          <xdr:rowOff>352425</xdr:rowOff>
        </xdr:to>
        <xdr:sp macro="" textlink="">
          <xdr:nvSpPr>
            <xdr:cNvPr id="18437" name="Option Button 5" hidden="1">
              <a:extLst>
                <a:ext uri="{63B3BB69-23CF-44E3-9099-C40C66FF867C}">
                  <a14:compatExt spid="_x0000_s18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295275</xdr:colOff>
      <xdr:row>5</xdr:row>
      <xdr:rowOff>28574</xdr:rowOff>
    </xdr:from>
    <xdr:to>
      <xdr:col>1</xdr:col>
      <xdr:colOff>771525</xdr:colOff>
      <xdr:row>7</xdr:row>
      <xdr:rowOff>9525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9695" b="7435"/>
        <a:stretch/>
      </xdr:blipFill>
      <xdr:spPr>
        <a:xfrm>
          <a:off x="523875" y="2066924"/>
          <a:ext cx="476250" cy="438151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4</xdr:row>
      <xdr:rowOff>85725</xdr:rowOff>
    </xdr:from>
    <xdr:to>
      <xdr:col>5</xdr:col>
      <xdr:colOff>219075</xdr:colOff>
      <xdr:row>4</xdr:row>
      <xdr:rowOff>400050</xdr:rowOff>
    </xdr:to>
    <xdr:sp macro="" textlink="">
      <xdr:nvSpPr>
        <xdr:cNvPr id="3" name="Rectangle 2"/>
        <xdr:cNvSpPr/>
      </xdr:nvSpPr>
      <xdr:spPr>
        <a:xfrm>
          <a:off x="1562100" y="1676400"/>
          <a:ext cx="21526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600" b="1"/>
            <a:t>Hivernage en bergerie</a:t>
          </a:r>
        </a:p>
      </xdr:txBody>
    </xdr:sp>
    <xdr:clientData/>
  </xdr:twoCellAnchor>
  <xdr:twoCellAnchor>
    <xdr:from>
      <xdr:col>6</xdr:col>
      <xdr:colOff>9525</xdr:colOff>
      <xdr:row>4</xdr:row>
      <xdr:rowOff>76200</xdr:rowOff>
    </xdr:from>
    <xdr:to>
      <xdr:col>9</xdr:col>
      <xdr:colOff>200025</xdr:colOff>
      <xdr:row>4</xdr:row>
      <xdr:rowOff>390525</xdr:rowOff>
    </xdr:to>
    <xdr:sp macro="" textlink="">
      <xdr:nvSpPr>
        <xdr:cNvPr id="14" name="Rectangle 13"/>
        <xdr:cNvSpPr/>
      </xdr:nvSpPr>
      <xdr:spPr>
        <a:xfrm>
          <a:off x="4219575" y="1666875"/>
          <a:ext cx="23336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600" b="1"/>
            <a:t>Hivernage en plein air</a:t>
          </a:r>
        </a:p>
      </xdr:txBody>
    </xdr:sp>
    <xdr:clientData/>
  </xdr:twoCellAnchor>
  <xdr:twoCellAnchor>
    <xdr:from>
      <xdr:col>1</xdr:col>
      <xdr:colOff>293370</xdr:colOff>
      <xdr:row>4</xdr:row>
      <xdr:rowOff>232410</xdr:rowOff>
    </xdr:from>
    <xdr:to>
      <xdr:col>1</xdr:col>
      <xdr:colOff>771525</xdr:colOff>
      <xdr:row>4</xdr:row>
      <xdr:rowOff>238125</xdr:rowOff>
    </xdr:to>
    <xdr:cxnSp macro="">
      <xdr:nvCxnSpPr>
        <xdr:cNvPr id="15" name="Connecteur droit avec flèche 14"/>
        <xdr:cNvCxnSpPr/>
      </xdr:nvCxnSpPr>
      <xdr:spPr>
        <a:xfrm>
          <a:off x="521970" y="1823085"/>
          <a:ext cx="478155" cy="571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295275</xdr:colOff>
      <xdr:row>5</xdr:row>
      <xdr:rowOff>19049</xdr:rowOff>
    </xdr:from>
    <xdr:to>
      <xdr:col>1</xdr:col>
      <xdr:colOff>771525</xdr:colOff>
      <xdr:row>7</xdr:row>
      <xdr:rowOff>0</xdr:rowOff>
    </xdr:to>
    <xdr:pic>
      <xdr:nvPicPr>
        <xdr:cNvPr id="18" name="Image 17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9695" b="7435"/>
        <a:stretch/>
      </xdr:blipFill>
      <xdr:spPr>
        <a:xfrm>
          <a:off x="523875" y="2066924"/>
          <a:ext cx="476250" cy="438151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361950</xdr:colOff>
      <xdr:row>7</xdr:row>
      <xdr:rowOff>57149</xdr:rowOff>
    </xdr:from>
    <xdr:to>
      <xdr:col>11</xdr:col>
      <xdr:colOff>838200</xdr:colOff>
      <xdr:row>8</xdr:row>
      <xdr:rowOff>114300</xdr:rowOff>
    </xdr:to>
    <xdr:pic>
      <xdr:nvPicPr>
        <xdr:cNvPr id="19" name="Image 18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9695" b="7435"/>
        <a:stretch/>
      </xdr:blipFill>
      <xdr:spPr>
        <a:xfrm>
          <a:off x="7191375" y="2562224"/>
          <a:ext cx="476250" cy="438151"/>
        </a:xfrm>
        <a:prstGeom prst="rect">
          <a:avLst/>
        </a:prstGeom>
      </xdr:spPr>
    </xdr:pic>
    <xdr:clientData/>
  </xdr:twoCellAnchor>
  <xdr:twoCellAnchor>
    <xdr:from>
      <xdr:col>11</xdr:col>
      <xdr:colOff>1204019</xdr:colOff>
      <xdr:row>8</xdr:row>
      <xdr:rowOff>29765</xdr:rowOff>
    </xdr:from>
    <xdr:to>
      <xdr:col>15</xdr:col>
      <xdr:colOff>22325</xdr:colOff>
      <xdr:row>17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3</xdr:row>
      <xdr:rowOff>38100</xdr:rowOff>
    </xdr:from>
    <xdr:to>
      <xdr:col>1</xdr:col>
      <xdr:colOff>847725</xdr:colOff>
      <xdr:row>3</xdr:row>
      <xdr:rowOff>295276</xdr:rowOff>
    </xdr:to>
    <xdr:sp macro="" textlink="">
      <xdr:nvSpPr>
        <xdr:cNvPr id="9" name="Plaque 8">
          <a:hlinkClick xmlns:r="http://schemas.openxmlformats.org/officeDocument/2006/relationships" r:id="rId1"/>
        </xdr:cNvPr>
        <xdr:cNvSpPr/>
      </xdr:nvSpPr>
      <xdr:spPr>
        <a:xfrm>
          <a:off x="342899" y="1419225"/>
          <a:ext cx="742951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68579</xdr:colOff>
      <xdr:row>3</xdr:row>
      <xdr:rowOff>53339</xdr:rowOff>
    </xdr:from>
    <xdr:to>
      <xdr:col>2</xdr:col>
      <xdr:colOff>859155</xdr:colOff>
      <xdr:row>3</xdr:row>
      <xdr:rowOff>291464</xdr:rowOff>
    </xdr:to>
    <xdr:sp macro="[0]!effaceFour" textlink="">
      <xdr:nvSpPr>
        <xdr:cNvPr id="11" name="Plaque 10"/>
        <xdr:cNvSpPr/>
      </xdr:nvSpPr>
      <xdr:spPr>
        <a:xfrm>
          <a:off x="1249679" y="1280159"/>
          <a:ext cx="790576" cy="23812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4</xdr:col>
      <xdr:colOff>30479</xdr:colOff>
      <xdr:row>3</xdr:row>
      <xdr:rowOff>38099</xdr:rowOff>
    </xdr:from>
    <xdr:to>
      <xdr:col>5</xdr:col>
      <xdr:colOff>154304</xdr:colOff>
      <xdr:row>3</xdr:row>
      <xdr:rowOff>314324</xdr:rowOff>
    </xdr:to>
    <xdr:sp macro="[0]!ValFourr" textlink="">
      <xdr:nvSpPr>
        <xdr:cNvPr id="12" name="Plaque 11">
          <a:hlinkClick xmlns:r="http://schemas.openxmlformats.org/officeDocument/2006/relationships" r:id="rId2"/>
        </xdr:cNvPr>
        <xdr:cNvSpPr/>
      </xdr:nvSpPr>
      <xdr:spPr>
        <a:xfrm>
          <a:off x="3741419" y="1264919"/>
          <a:ext cx="786765" cy="276225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17</xdr:col>
      <xdr:colOff>363008</xdr:colOff>
      <xdr:row>3</xdr:row>
      <xdr:rowOff>48683</xdr:rowOff>
    </xdr:from>
    <xdr:to>
      <xdr:col>17</xdr:col>
      <xdr:colOff>646641</xdr:colOff>
      <xdr:row>3</xdr:row>
      <xdr:rowOff>315383</xdr:rowOff>
    </xdr:to>
    <xdr:sp macro="[0]!message2" textlink="">
      <xdr:nvSpPr>
        <xdr:cNvPr id="7" name="Ellipse 6"/>
        <xdr:cNvSpPr/>
      </xdr:nvSpPr>
      <xdr:spPr>
        <a:xfrm>
          <a:off x="10692341" y="1265766"/>
          <a:ext cx="283633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15</xdr:col>
      <xdr:colOff>71966</xdr:colOff>
      <xdr:row>0</xdr:row>
      <xdr:rowOff>68791</xdr:rowOff>
    </xdr:from>
    <xdr:to>
      <xdr:col>17</xdr:col>
      <xdr:colOff>355753</xdr:colOff>
      <xdr:row>1</xdr:row>
      <xdr:rowOff>267932</xdr:rowOff>
    </xdr:to>
    <xdr:pic>
      <xdr:nvPicPr>
        <xdr:cNvPr id="13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321799" y="68791"/>
          <a:ext cx="1447954" cy="929391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3</xdr:col>
      <xdr:colOff>95252</xdr:colOff>
      <xdr:row>21</xdr:row>
      <xdr:rowOff>257177</xdr:rowOff>
    </xdr:from>
    <xdr:to>
      <xdr:col>3</xdr:col>
      <xdr:colOff>96046</xdr:colOff>
      <xdr:row>22</xdr:row>
      <xdr:rowOff>238921</xdr:rowOff>
    </xdr:to>
    <xdr:cxnSp macro="">
      <xdr:nvCxnSpPr>
        <xdr:cNvPr id="14" name="Connecteur droit avec flèche 13"/>
        <xdr:cNvCxnSpPr/>
      </xdr:nvCxnSpPr>
      <xdr:spPr>
        <a:xfrm rot="5400000">
          <a:off x="3257552" y="6143627"/>
          <a:ext cx="362744" cy="79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443182</xdr:colOff>
      <xdr:row>22</xdr:row>
      <xdr:rowOff>205319</xdr:rowOff>
    </xdr:from>
    <xdr:to>
      <xdr:col>16</xdr:col>
      <xdr:colOff>259294</xdr:colOff>
      <xdr:row>22</xdr:row>
      <xdr:rowOff>214841</xdr:rowOff>
    </xdr:to>
    <xdr:cxnSp macro="">
      <xdr:nvCxnSpPr>
        <xdr:cNvPr id="15" name="Connecteur droit avec flèche 14"/>
        <xdr:cNvCxnSpPr/>
      </xdr:nvCxnSpPr>
      <xdr:spPr>
        <a:xfrm>
          <a:off x="9693015" y="6629402"/>
          <a:ext cx="313529" cy="952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110970</xdr:colOff>
      <xdr:row>8</xdr:row>
      <xdr:rowOff>55486</xdr:rowOff>
    </xdr:from>
    <xdr:to>
      <xdr:col>12</xdr:col>
      <xdr:colOff>120495</xdr:colOff>
      <xdr:row>8</xdr:row>
      <xdr:rowOff>292038</xdr:rowOff>
    </xdr:to>
    <xdr:sp macro="[0]!Volonté" textlink="">
      <xdr:nvSpPr>
        <xdr:cNvPr id="10" name="Plaque 9"/>
        <xdr:cNvSpPr/>
      </xdr:nvSpPr>
      <xdr:spPr>
        <a:xfrm>
          <a:off x="7425800" y="2617064"/>
          <a:ext cx="888045" cy="236552"/>
        </a:xfrm>
        <a:prstGeom prst="bevel">
          <a:avLst/>
        </a:prstGeom>
        <a:solidFill>
          <a:srgbClr val="C00000"/>
        </a:solidFill>
        <a:ln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 VOLONTE</a:t>
          </a:r>
        </a:p>
      </xdr:txBody>
    </xdr:sp>
    <xdr:clientData/>
  </xdr:twoCellAnchor>
  <xdr:twoCellAnchor>
    <xdr:from>
      <xdr:col>3</xdr:col>
      <xdr:colOff>104777</xdr:colOff>
      <xdr:row>7</xdr:row>
      <xdr:rowOff>247652</xdr:rowOff>
    </xdr:from>
    <xdr:to>
      <xdr:col>3</xdr:col>
      <xdr:colOff>105571</xdr:colOff>
      <xdr:row>8</xdr:row>
      <xdr:rowOff>229396</xdr:rowOff>
    </xdr:to>
    <xdr:cxnSp macro="">
      <xdr:nvCxnSpPr>
        <xdr:cNvPr id="16" name="Connecteur droit avec flèche 15"/>
        <xdr:cNvCxnSpPr/>
      </xdr:nvCxnSpPr>
      <xdr:spPr>
        <a:xfrm rot="5400000">
          <a:off x="3267077" y="2619377"/>
          <a:ext cx="362744" cy="79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1047750</xdr:colOff>
      <xdr:row>3</xdr:row>
      <xdr:rowOff>43815</xdr:rowOff>
    </xdr:from>
    <xdr:to>
      <xdr:col>3</xdr:col>
      <xdr:colOff>102870</xdr:colOff>
      <xdr:row>3</xdr:row>
      <xdr:rowOff>300990</xdr:rowOff>
    </xdr:to>
    <xdr:sp macro="" textlink="">
      <xdr:nvSpPr>
        <xdr:cNvPr id="17" name="Plaque 16">
          <a:hlinkClick xmlns:r="http://schemas.openxmlformats.org/officeDocument/2006/relationships" r:id="rId4"/>
        </xdr:cNvPr>
        <xdr:cNvSpPr/>
      </xdr:nvSpPr>
      <xdr:spPr>
        <a:xfrm>
          <a:off x="2228850" y="1270635"/>
          <a:ext cx="1310640" cy="25717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MES FOURRAGES</a:t>
          </a:r>
        </a:p>
      </xdr:txBody>
    </xdr:sp>
    <xdr:clientData/>
  </xdr:twoCellAnchor>
  <xdr:twoCellAnchor>
    <xdr:from>
      <xdr:col>5</xdr:col>
      <xdr:colOff>350520</xdr:colOff>
      <xdr:row>3</xdr:row>
      <xdr:rowOff>38100</xdr:rowOff>
    </xdr:from>
    <xdr:to>
      <xdr:col>6</xdr:col>
      <xdr:colOff>474345</xdr:colOff>
      <xdr:row>3</xdr:row>
      <xdr:rowOff>314325</xdr:rowOff>
    </xdr:to>
    <xdr:sp macro="[0]!ValFourr" textlink="">
      <xdr:nvSpPr>
        <xdr:cNvPr id="18" name="Plaque 17">
          <a:hlinkClick xmlns:r="http://schemas.openxmlformats.org/officeDocument/2006/relationships" r:id="rId5"/>
        </xdr:cNvPr>
        <xdr:cNvSpPr/>
      </xdr:nvSpPr>
      <xdr:spPr>
        <a:xfrm>
          <a:off x="4724400" y="1264920"/>
          <a:ext cx="786765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/>
  </xdr:twoCellAnchor>
  <xdr:twoCellAnchor editAs="oneCell">
    <xdr:from>
      <xdr:col>1</xdr:col>
      <xdr:colOff>137582</xdr:colOff>
      <xdr:row>5</xdr:row>
      <xdr:rowOff>113725</xdr:rowOff>
    </xdr:from>
    <xdr:to>
      <xdr:col>1</xdr:col>
      <xdr:colOff>634999</xdr:colOff>
      <xdr:row>7</xdr:row>
      <xdr:rowOff>337859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0999" y="2008142"/>
          <a:ext cx="497417" cy="552217"/>
        </a:xfrm>
        <a:prstGeom prst="rect">
          <a:avLst/>
        </a:prstGeom>
      </xdr:spPr>
    </xdr:pic>
    <xdr:clientData/>
  </xdr:twoCellAnchor>
  <xdr:twoCellAnchor editAs="oneCell">
    <xdr:from>
      <xdr:col>1</xdr:col>
      <xdr:colOff>74084</xdr:colOff>
      <xdr:row>19</xdr:row>
      <xdr:rowOff>95249</xdr:rowOff>
    </xdr:from>
    <xdr:to>
      <xdr:col>1</xdr:col>
      <xdr:colOff>578610</xdr:colOff>
      <xdr:row>21</xdr:row>
      <xdr:rowOff>359025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501" y="5482166"/>
          <a:ext cx="504526" cy="560109"/>
        </a:xfrm>
        <a:prstGeom prst="rect">
          <a:avLst/>
        </a:prstGeom>
      </xdr:spPr>
    </xdr:pic>
    <xdr:clientData/>
  </xdr:twoCellAnchor>
  <xdr:twoCellAnchor editAs="oneCell">
    <xdr:from>
      <xdr:col>8</xdr:col>
      <xdr:colOff>639232</xdr:colOff>
      <xdr:row>5</xdr:row>
      <xdr:rowOff>33291</xdr:rowOff>
    </xdr:from>
    <xdr:to>
      <xdr:col>10</xdr:col>
      <xdr:colOff>46566</xdr:colOff>
      <xdr:row>7</xdr:row>
      <xdr:rowOff>257425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0482" y="1927708"/>
          <a:ext cx="497417" cy="552217"/>
        </a:xfrm>
        <a:prstGeom prst="rect">
          <a:avLst/>
        </a:prstGeom>
      </xdr:spPr>
    </xdr:pic>
    <xdr:clientData/>
  </xdr:twoCellAnchor>
  <xdr:twoCellAnchor editAs="oneCell">
    <xdr:from>
      <xdr:col>9</xdr:col>
      <xdr:colOff>52916</xdr:colOff>
      <xdr:row>19</xdr:row>
      <xdr:rowOff>52917</xdr:rowOff>
    </xdr:from>
    <xdr:to>
      <xdr:col>10</xdr:col>
      <xdr:colOff>105833</xdr:colOff>
      <xdr:row>21</xdr:row>
      <xdr:rowOff>308801</xdr:rowOff>
    </xdr:to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89749" y="5439834"/>
          <a:ext cx="497417" cy="55221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809625</xdr:colOff>
          <xdr:row>4</xdr:row>
          <xdr:rowOff>200025</xdr:rowOff>
        </xdr:from>
        <xdr:to>
          <xdr:col>2</xdr:col>
          <xdr:colOff>200025</xdr:colOff>
          <xdr:row>4</xdr:row>
          <xdr:rowOff>495300</xdr:rowOff>
        </xdr:to>
        <xdr:sp macro="" textlink="">
          <xdr:nvSpPr>
            <xdr:cNvPr id="19460" name="Option Button 4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</xdr:row>
          <xdr:rowOff>200025</xdr:rowOff>
        </xdr:from>
        <xdr:to>
          <xdr:col>5</xdr:col>
          <xdr:colOff>619125</xdr:colOff>
          <xdr:row>4</xdr:row>
          <xdr:rowOff>495300</xdr:rowOff>
        </xdr:to>
        <xdr:sp macro="" textlink="">
          <xdr:nvSpPr>
            <xdr:cNvPr id="19463" name="Option Button 7" hidden="1">
              <a:extLst>
                <a:ext uri="{63B3BB69-23CF-44E3-9099-C40C66FF867C}">
                  <a14:compatExt spid="_x0000_s19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199763</xdr:colOff>
      <xdr:row>4</xdr:row>
      <xdr:rowOff>364068</xdr:rowOff>
    </xdr:from>
    <xdr:to>
      <xdr:col>1</xdr:col>
      <xdr:colOff>709083</xdr:colOff>
      <xdr:row>4</xdr:row>
      <xdr:rowOff>370417</xdr:rowOff>
    </xdr:to>
    <xdr:cxnSp macro="">
      <xdr:nvCxnSpPr>
        <xdr:cNvPr id="23" name="Connecteur droit avec flèche 22"/>
        <xdr:cNvCxnSpPr/>
      </xdr:nvCxnSpPr>
      <xdr:spPr>
        <a:xfrm>
          <a:off x="443180" y="1919818"/>
          <a:ext cx="509320" cy="6349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296334</xdr:colOff>
      <xdr:row>8</xdr:row>
      <xdr:rowOff>279401</xdr:rowOff>
    </xdr:from>
    <xdr:to>
      <xdr:col>16</xdr:col>
      <xdr:colOff>311151</xdr:colOff>
      <xdr:row>8</xdr:row>
      <xdr:rowOff>285750</xdr:rowOff>
    </xdr:to>
    <xdr:cxnSp macro="">
      <xdr:nvCxnSpPr>
        <xdr:cNvPr id="24" name="Connecteur droit avec flèche 23"/>
        <xdr:cNvCxnSpPr/>
      </xdr:nvCxnSpPr>
      <xdr:spPr>
        <a:xfrm flipV="1">
          <a:off x="9546167" y="3210984"/>
          <a:ext cx="512234" cy="6349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415665</xdr:colOff>
      <xdr:row>26</xdr:row>
      <xdr:rowOff>188386</xdr:rowOff>
    </xdr:from>
    <xdr:to>
      <xdr:col>16</xdr:col>
      <xdr:colOff>231777</xdr:colOff>
      <xdr:row>26</xdr:row>
      <xdr:rowOff>197908</xdr:rowOff>
    </xdr:to>
    <xdr:cxnSp macro="">
      <xdr:nvCxnSpPr>
        <xdr:cNvPr id="29" name="Connecteur droit avec flèche 28"/>
        <xdr:cNvCxnSpPr/>
      </xdr:nvCxnSpPr>
      <xdr:spPr>
        <a:xfrm>
          <a:off x="9665498" y="7755469"/>
          <a:ext cx="313529" cy="952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356151</xdr:colOff>
      <xdr:row>8</xdr:row>
      <xdr:rowOff>90281</xdr:rowOff>
    </xdr:from>
    <xdr:to>
      <xdr:col>19</xdr:col>
      <xdr:colOff>82826</xdr:colOff>
      <xdr:row>18</xdr:row>
      <xdr:rowOff>82826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183573</xdr:colOff>
      <xdr:row>7</xdr:row>
      <xdr:rowOff>46759</xdr:rowOff>
    </xdr:from>
    <xdr:to>
      <xdr:col>11</xdr:col>
      <xdr:colOff>38966</xdr:colOff>
      <xdr:row>7</xdr:row>
      <xdr:rowOff>299603</xdr:rowOff>
    </xdr:to>
    <xdr:sp macro="" textlink="">
      <xdr:nvSpPr>
        <xdr:cNvPr id="2" name="Plaque 1">
          <a:hlinkClick xmlns:r="http://schemas.openxmlformats.org/officeDocument/2006/relationships" r:id="rId1"/>
        </xdr:cNvPr>
        <xdr:cNvSpPr/>
      </xdr:nvSpPr>
      <xdr:spPr>
        <a:xfrm>
          <a:off x="6908223" y="2580409"/>
          <a:ext cx="798368" cy="252844"/>
        </a:xfrm>
        <a:prstGeom prst="bevel">
          <a:avLst/>
        </a:prstGeom>
        <a:solidFill>
          <a:srgbClr val="C00000"/>
        </a:solidFill>
        <a:ln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00" b="1"/>
            <a:t>Mélange</a:t>
          </a:r>
        </a:p>
      </xdr:txBody>
    </xdr:sp>
    <xdr:clientData/>
  </xdr:twoCellAnchor>
  <xdr:twoCellAnchor>
    <xdr:from>
      <xdr:col>1</xdr:col>
      <xdr:colOff>104774</xdr:colOff>
      <xdr:row>3</xdr:row>
      <xdr:rowOff>28575</xdr:rowOff>
    </xdr:from>
    <xdr:to>
      <xdr:col>2</xdr:col>
      <xdr:colOff>190500</xdr:colOff>
      <xdr:row>3</xdr:row>
      <xdr:rowOff>281421</xdr:rowOff>
    </xdr:to>
    <xdr:sp macro="" textlink="">
      <xdr:nvSpPr>
        <xdr:cNvPr id="4" name="Plaque 3">
          <a:hlinkClick xmlns:r="http://schemas.openxmlformats.org/officeDocument/2006/relationships" r:id="rId2"/>
        </xdr:cNvPr>
        <xdr:cNvSpPr/>
      </xdr:nvSpPr>
      <xdr:spPr>
        <a:xfrm>
          <a:off x="295274" y="1276350"/>
          <a:ext cx="847726" cy="25284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320039</xdr:colOff>
      <xdr:row>3</xdr:row>
      <xdr:rowOff>38100</xdr:rowOff>
    </xdr:from>
    <xdr:to>
      <xdr:col>2</xdr:col>
      <xdr:colOff>1167765</xdr:colOff>
      <xdr:row>3</xdr:row>
      <xdr:rowOff>290946</xdr:rowOff>
    </xdr:to>
    <xdr:sp macro="[0]!effaceConc" textlink="">
      <xdr:nvSpPr>
        <xdr:cNvPr id="6" name="Plaque 5"/>
        <xdr:cNvSpPr/>
      </xdr:nvSpPr>
      <xdr:spPr>
        <a:xfrm>
          <a:off x="1272539" y="1285875"/>
          <a:ext cx="847726" cy="25284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6</xdr:col>
      <xdr:colOff>59055</xdr:colOff>
      <xdr:row>3</xdr:row>
      <xdr:rowOff>36195</xdr:rowOff>
    </xdr:from>
    <xdr:to>
      <xdr:col>7</xdr:col>
      <xdr:colOff>144781</xdr:colOff>
      <xdr:row>3</xdr:row>
      <xdr:rowOff>298565</xdr:rowOff>
    </xdr:to>
    <xdr:sp macro="[0]!ValConc" textlink="">
      <xdr:nvSpPr>
        <xdr:cNvPr id="7" name="Plaque 6">
          <a:hlinkClick xmlns:r="http://schemas.openxmlformats.org/officeDocument/2006/relationships" r:id="rId3"/>
        </xdr:cNvPr>
        <xdr:cNvSpPr/>
      </xdr:nvSpPr>
      <xdr:spPr>
        <a:xfrm>
          <a:off x="4497705" y="1283970"/>
          <a:ext cx="847726" cy="262370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16</xdr:col>
      <xdr:colOff>332226</xdr:colOff>
      <xdr:row>3</xdr:row>
      <xdr:rowOff>36382</xdr:rowOff>
    </xdr:from>
    <xdr:to>
      <xdr:col>16</xdr:col>
      <xdr:colOff>623625</xdr:colOff>
      <xdr:row>3</xdr:row>
      <xdr:rowOff>298752</xdr:rowOff>
    </xdr:to>
    <xdr:sp macro="[0]!message3" textlink="">
      <xdr:nvSpPr>
        <xdr:cNvPr id="8" name="Ellipse 7"/>
        <xdr:cNvSpPr/>
      </xdr:nvSpPr>
      <xdr:spPr>
        <a:xfrm>
          <a:off x="10559890" y="1293370"/>
          <a:ext cx="291399" cy="26237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13</xdr:col>
      <xdr:colOff>932356</xdr:colOff>
      <xdr:row>0</xdr:row>
      <xdr:rowOff>76199</xdr:rowOff>
    </xdr:from>
    <xdr:to>
      <xdr:col>16</xdr:col>
      <xdr:colOff>572538</xdr:colOff>
      <xdr:row>1</xdr:row>
      <xdr:rowOff>320447</xdr:rowOff>
    </xdr:to>
    <xdr:pic>
      <xdr:nvPicPr>
        <xdr:cNvPr id="9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059836" y="76199"/>
          <a:ext cx="1567930" cy="1009371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2</xdr:col>
      <xdr:colOff>1314450</xdr:colOff>
      <xdr:row>3</xdr:row>
      <xdr:rowOff>28575</xdr:rowOff>
    </xdr:from>
    <xdr:to>
      <xdr:col>4</xdr:col>
      <xdr:colOff>428625</xdr:colOff>
      <xdr:row>3</xdr:row>
      <xdr:rowOff>309996</xdr:rowOff>
    </xdr:to>
    <xdr:sp macro="" textlink="">
      <xdr:nvSpPr>
        <xdr:cNvPr id="10" name="Plaque 9">
          <a:hlinkClick xmlns:r="http://schemas.openxmlformats.org/officeDocument/2006/relationships" r:id="rId5"/>
        </xdr:cNvPr>
        <xdr:cNvSpPr/>
      </xdr:nvSpPr>
      <xdr:spPr>
        <a:xfrm>
          <a:off x="2266950" y="1276350"/>
          <a:ext cx="1076325" cy="281421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MES ALIMENTS</a:t>
          </a:r>
        </a:p>
      </xdr:txBody>
    </xdr:sp>
    <xdr:clientData/>
  </xdr:twoCellAnchor>
  <xdr:twoCellAnchor>
    <xdr:from>
      <xdr:col>3</xdr:col>
      <xdr:colOff>95250</xdr:colOff>
      <xdr:row>5</xdr:row>
      <xdr:rowOff>285751</xdr:rowOff>
    </xdr:from>
    <xdr:to>
      <xdr:col>3</xdr:col>
      <xdr:colOff>96044</xdr:colOff>
      <xdr:row>7</xdr:row>
      <xdr:rowOff>134145</xdr:rowOff>
    </xdr:to>
    <xdr:cxnSp macro="">
      <xdr:nvCxnSpPr>
        <xdr:cNvPr id="11" name="Connecteur droit avec flèche 10"/>
        <xdr:cNvCxnSpPr/>
      </xdr:nvCxnSpPr>
      <xdr:spPr>
        <a:xfrm rot="5400000">
          <a:off x="2614612" y="2547939"/>
          <a:ext cx="353219" cy="79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12</xdr:row>
      <xdr:rowOff>295277</xdr:rowOff>
    </xdr:from>
    <xdr:to>
      <xdr:col>3</xdr:col>
      <xdr:colOff>105569</xdr:colOff>
      <xdr:row>14</xdr:row>
      <xdr:rowOff>153196</xdr:rowOff>
    </xdr:to>
    <xdr:cxnSp macro="">
      <xdr:nvCxnSpPr>
        <xdr:cNvPr id="12" name="Connecteur droit avec flèche 11"/>
        <xdr:cNvCxnSpPr/>
      </xdr:nvCxnSpPr>
      <xdr:spPr>
        <a:xfrm rot="5400000">
          <a:off x="2624137" y="4367215"/>
          <a:ext cx="353219" cy="79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573405</xdr:colOff>
      <xdr:row>3</xdr:row>
      <xdr:rowOff>38100</xdr:rowOff>
    </xdr:from>
    <xdr:to>
      <xdr:col>5</xdr:col>
      <xdr:colOff>649606</xdr:colOff>
      <xdr:row>3</xdr:row>
      <xdr:rowOff>290946</xdr:rowOff>
    </xdr:to>
    <xdr:sp macro="[0]!effaceConc" textlink="">
      <xdr:nvSpPr>
        <xdr:cNvPr id="13" name="Plaque 12">
          <a:hlinkClick xmlns:r="http://schemas.openxmlformats.org/officeDocument/2006/relationships" r:id="rId6"/>
        </xdr:cNvPr>
        <xdr:cNvSpPr/>
      </xdr:nvSpPr>
      <xdr:spPr>
        <a:xfrm>
          <a:off x="3488055" y="1285875"/>
          <a:ext cx="838201" cy="25284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FERMIER</a:t>
          </a:r>
        </a:p>
      </xdr:txBody>
    </xdr:sp>
    <xdr:clientData/>
  </xdr:twoCellAnchor>
  <xdr:twoCellAnchor>
    <xdr:from>
      <xdr:col>7</xdr:col>
      <xdr:colOff>291465</xdr:colOff>
      <xdr:row>3</xdr:row>
      <xdr:rowOff>30480</xdr:rowOff>
    </xdr:from>
    <xdr:to>
      <xdr:col>8</xdr:col>
      <xdr:colOff>285750</xdr:colOff>
      <xdr:row>3</xdr:row>
      <xdr:rowOff>306705</xdr:rowOff>
    </xdr:to>
    <xdr:sp macro="[0]!ValFourr" textlink="">
      <xdr:nvSpPr>
        <xdr:cNvPr id="16" name="Plaque 15">
          <a:hlinkClick xmlns:r="http://schemas.openxmlformats.org/officeDocument/2006/relationships" r:id="rId7"/>
        </xdr:cNvPr>
        <xdr:cNvSpPr/>
      </xdr:nvSpPr>
      <xdr:spPr>
        <a:xfrm>
          <a:off x="5492115" y="1278255"/>
          <a:ext cx="756285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/>
  </xdr:twoCellAnchor>
  <xdr:twoCellAnchor editAs="oneCell">
    <xdr:from>
      <xdr:col>4</xdr:col>
      <xdr:colOff>47626</xdr:colOff>
      <xdr:row>5</xdr:row>
      <xdr:rowOff>27696</xdr:rowOff>
    </xdr:from>
    <xdr:to>
      <xdr:col>4</xdr:col>
      <xdr:colOff>485776</xdr:colOff>
      <xdr:row>6</xdr:row>
      <xdr:rowOff>114067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2276" y="2008896"/>
          <a:ext cx="438150" cy="48642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12</xdr:row>
      <xdr:rowOff>18171</xdr:rowOff>
    </xdr:from>
    <xdr:to>
      <xdr:col>4</xdr:col>
      <xdr:colOff>466726</xdr:colOff>
      <xdr:row>13</xdr:row>
      <xdr:rowOff>104542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43226" y="3856746"/>
          <a:ext cx="438150" cy="486421"/>
        </a:xfrm>
        <a:prstGeom prst="rect">
          <a:avLst/>
        </a:prstGeom>
      </xdr:spPr>
    </xdr:pic>
    <xdr:clientData/>
  </xdr:twoCellAnchor>
  <xdr:twoCellAnchor editAs="oneCell">
    <xdr:from>
      <xdr:col>8</xdr:col>
      <xdr:colOff>349658</xdr:colOff>
      <xdr:row>5</xdr:row>
      <xdr:rowOff>65691</xdr:rowOff>
    </xdr:from>
    <xdr:to>
      <xdr:col>9</xdr:col>
      <xdr:colOff>23270</xdr:colOff>
      <xdr:row>6</xdr:row>
      <xdr:rowOff>117638</xdr:rowOff>
    </xdr:to>
    <xdr:pic>
      <xdr:nvPicPr>
        <xdr:cNvPr id="20" name="Image 19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8289" b="-1"/>
        <a:stretch/>
      </xdr:blipFill>
      <xdr:spPr>
        <a:xfrm>
          <a:off x="6319205" y="2061014"/>
          <a:ext cx="437254" cy="454296"/>
        </a:xfrm>
        <a:prstGeom prst="rect">
          <a:avLst/>
        </a:prstGeom>
      </xdr:spPr>
    </xdr:pic>
    <xdr:clientData/>
  </xdr:twoCellAnchor>
  <xdr:twoCellAnchor editAs="oneCell">
    <xdr:from>
      <xdr:col>13</xdr:col>
      <xdr:colOff>318853</xdr:colOff>
      <xdr:row>9</xdr:row>
      <xdr:rowOff>277162</xdr:rowOff>
    </xdr:from>
    <xdr:to>
      <xdr:col>13</xdr:col>
      <xdr:colOff>819393</xdr:colOff>
      <xdr:row>12</xdr:row>
      <xdr:rowOff>34900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47948" y="3413843"/>
          <a:ext cx="500540" cy="554225"/>
        </a:xfrm>
        <a:prstGeom prst="rect">
          <a:avLst/>
        </a:prstGeom>
      </xdr:spPr>
    </xdr:pic>
    <xdr:clientData/>
  </xdr:twoCellAnchor>
  <xdr:twoCellAnchor>
    <xdr:from>
      <xdr:col>13</xdr:col>
      <xdr:colOff>34018</xdr:colOff>
      <xdr:row>6</xdr:row>
      <xdr:rowOff>59530</xdr:rowOff>
    </xdr:from>
    <xdr:to>
      <xdr:col>16</xdr:col>
      <xdr:colOff>697366</xdr:colOff>
      <xdr:row>11</xdr:row>
      <xdr:rowOff>49154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862177</xdr:colOff>
      <xdr:row>10</xdr:row>
      <xdr:rowOff>172435</xdr:rowOff>
    </xdr:from>
    <xdr:to>
      <xdr:col>17</xdr:col>
      <xdr:colOff>180646</xdr:colOff>
      <xdr:row>17</xdr:row>
      <xdr:rowOff>90324</xdr:rowOff>
    </xdr:to>
    <xdr:graphicFrame macro="">
      <xdr:nvGraphicFramePr>
        <xdr:cNvPr id="19" name="Graphique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104773</xdr:colOff>
      <xdr:row>3</xdr:row>
      <xdr:rowOff>38100</xdr:rowOff>
    </xdr:from>
    <xdr:to>
      <xdr:col>2</xdr:col>
      <xdr:colOff>438150</xdr:colOff>
      <xdr:row>3</xdr:row>
      <xdr:rowOff>295276</xdr:rowOff>
    </xdr:to>
    <xdr:sp macro="" textlink="">
      <xdr:nvSpPr>
        <xdr:cNvPr id="2" name="Plaque 1">
          <a:hlinkClick xmlns:r="http://schemas.openxmlformats.org/officeDocument/2006/relationships" r:id="rId1"/>
        </xdr:cNvPr>
        <xdr:cNvSpPr/>
      </xdr:nvSpPr>
      <xdr:spPr>
        <a:xfrm>
          <a:off x="380998" y="1247775"/>
          <a:ext cx="895352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3</xdr:col>
      <xdr:colOff>129539</xdr:colOff>
      <xdr:row>3</xdr:row>
      <xdr:rowOff>45719</xdr:rowOff>
    </xdr:from>
    <xdr:to>
      <xdr:col>4</xdr:col>
      <xdr:colOff>733425</xdr:colOff>
      <xdr:row>3</xdr:row>
      <xdr:rowOff>283844</xdr:rowOff>
    </xdr:to>
    <xdr:sp macro="[0]!effaceCMV" textlink="">
      <xdr:nvSpPr>
        <xdr:cNvPr id="4" name="Plaque 3"/>
        <xdr:cNvSpPr/>
      </xdr:nvSpPr>
      <xdr:spPr>
        <a:xfrm>
          <a:off x="1463039" y="1255394"/>
          <a:ext cx="842011" cy="23812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5</xdr:col>
      <xdr:colOff>57150</xdr:colOff>
      <xdr:row>3</xdr:row>
      <xdr:rowOff>36194</xdr:rowOff>
    </xdr:from>
    <xdr:to>
      <xdr:col>6</xdr:col>
      <xdr:colOff>630556</xdr:colOff>
      <xdr:row>3</xdr:row>
      <xdr:rowOff>312419</xdr:rowOff>
    </xdr:to>
    <xdr:sp macro="[0]!ValCMV" textlink="">
      <xdr:nvSpPr>
        <xdr:cNvPr id="5" name="Plaque 4">
          <a:hlinkClick xmlns:r="http://schemas.openxmlformats.org/officeDocument/2006/relationships" r:id="rId2"/>
        </xdr:cNvPr>
        <xdr:cNvSpPr/>
      </xdr:nvSpPr>
      <xdr:spPr>
        <a:xfrm>
          <a:off x="2505075" y="1245869"/>
          <a:ext cx="830581" cy="276225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17</xdr:col>
      <xdr:colOff>425876</xdr:colOff>
      <xdr:row>3</xdr:row>
      <xdr:rowOff>57444</xdr:rowOff>
    </xdr:from>
    <xdr:to>
      <xdr:col>17</xdr:col>
      <xdr:colOff>730873</xdr:colOff>
      <xdr:row>3</xdr:row>
      <xdr:rowOff>324144</xdr:rowOff>
    </xdr:to>
    <xdr:sp macro="[0]!message4" textlink="">
      <xdr:nvSpPr>
        <xdr:cNvPr id="6" name="Ellipse 5"/>
        <xdr:cNvSpPr/>
      </xdr:nvSpPr>
      <xdr:spPr>
        <a:xfrm>
          <a:off x="9656288" y="1275073"/>
          <a:ext cx="304997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15</xdr:col>
      <xdr:colOff>122647</xdr:colOff>
      <xdr:row>0</xdr:row>
      <xdr:rowOff>54793</xdr:rowOff>
    </xdr:from>
    <xdr:to>
      <xdr:col>17</xdr:col>
      <xdr:colOff>785154</xdr:colOff>
      <xdr:row>1</xdr:row>
      <xdr:rowOff>265311</xdr:rowOff>
    </xdr:to>
    <xdr:pic>
      <xdr:nvPicPr>
        <xdr:cNvPr id="7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557673" y="54793"/>
          <a:ext cx="1496930" cy="966626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4</xdr:col>
      <xdr:colOff>95250</xdr:colOff>
      <xdr:row>11</xdr:row>
      <xdr:rowOff>133350</xdr:rowOff>
    </xdr:from>
    <xdr:to>
      <xdr:col>5</xdr:col>
      <xdr:colOff>28575</xdr:colOff>
      <xdr:row>11</xdr:row>
      <xdr:rowOff>390525</xdr:rowOff>
    </xdr:to>
    <xdr:sp macro="[0]!ChoixCMV" textlink="">
      <xdr:nvSpPr>
        <xdr:cNvPr id="8" name="Plaque 7"/>
        <xdr:cNvSpPr/>
      </xdr:nvSpPr>
      <xdr:spPr>
        <a:xfrm>
          <a:off x="1885950" y="4191000"/>
          <a:ext cx="809625" cy="257175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J'ACCEPTE</a:t>
          </a:r>
        </a:p>
      </xdr:txBody>
    </xdr:sp>
    <xdr:clientData/>
  </xdr:twoCellAnchor>
  <xdr:twoCellAnchor>
    <xdr:from>
      <xdr:col>4</xdr:col>
      <xdr:colOff>466725</xdr:colOff>
      <xdr:row>11</xdr:row>
      <xdr:rowOff>457201</xdr:rowOff>
    </xdr:from>
    <xdr:to>
      <xdr:col>4</xdr:col>
      <xdr:colOff>467519</xdr:colOff>
      <xdr:row>12</xdr:row>
      <xdr:rowOff>257970</xdr:rowOff>
    </xdr:to>
    <xdr:cxnSp macro="">
      <xdr:nvCxnSpPr>
        <xdr:cNvPr id="9" name="Connecteur droit avec flèche 8"/>
        <xdr:cNvCxnSpPr/>
      </xdr:nvCxnSpPr>
      <xdr:spPr>
        <a:xfrm rot="5400000">
          <a:off x="2095500" y="4676776"/>
          <a:ext cx="324644" cy="79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</xdr:row>
      <xdr:rowOff>409576</xdr:rowOff>
    </xdr:from>
    <xdr:to>
      <xdr:col>5</xdr:col>
      <xdr:colOff>105569</xdr:colOff>
      <xdr:row>7</xdr:row>
      <xdr:rowOff>181770</xdr:rowOff>
    </xdr:to>
    <xdr:cxnSp macro="">
      <xdr:nvCxnSpPr>
        <xdr:cNvPr id="10" name="Connecteur droit avec flèche 9"/>
        <xdr:cNvCxnSpPr/>
      </xdr:nvCxnSpPr>
      <xdr:spPr>
        <a:xfrm rot="5400000">
          <a:off x="2309812" y="2843214"/>
          <a:ext cx="353219" cy="79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</xdr:colOff>
      <xdr:row>3</xdr:row>
      <xdr:rowOff>38100</xdr:rowOff>
    </xdr:from>
    <xdr:to>
      <xdr:col>8</xdr:col>
      <xdr:colOff>268605</xdr:colOff>
      <xdr:row>3</xdr:row>
      <xdr:rowOff>314325</xdr:rowOff>
    </xdr:to>
    <xdr:sp macro="[0]!ValFourr" textlink="">
      <xdr:nvSpPr>
        <xdr:cNvPr id="11" name="Plaque 10">
          <a:hlinkClick xmlns:r="http://schemas.openxmlformats.org/officeDocument/2006/relationships" r:id="rId4"/>
        </xdr:cNvPr>
        <xdr:cNvSpPr/>
      </xdr:nvSpPr>
      <xdr:spPr>
        <a:xfrm>
          <a:off x="3566160" y="1242060"/>
          <a:ext cx="786765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/>
  </xdr:twoCellAnchor>
  <xdr:twoCellAnchor editAs="oneCell">
    <xdr:from>
      <xdr:col>1</xdr:col>
      <xdr:colOff>85725</xdr:colOff>
      <xdr:row>5</xdr:row>
      <xdr:rowOff>276225</xdr:rowOff>
    </xdr:from>
    <xdr:to>
      <xdr:col>1</xdr:col>
      <xdr:colOff>523875</xdr:colOff>
      <xdr:row>6</xdr:row>
      <xdr:rowOff>476896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1950" y="2000250"/>
          <a:ext cx="438150" cy="48642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</xdr:row>
      <xdr:rowOff>18052</xdr:rowOff>
    </xdr:from>
    <xdr:to>
      <xdr:col>1</xdr:col>
      <xdr:colOff>552450</xdr:colOff>
      <xdr:row>10</xdr:row>
      <xdr:rowOff>438151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0187" b="7046"/>
        <a:stretch/>
      </xdr:blipFill>
      <xdr:spPr>
        <a:xfrm>
          <a:off x="371475" y="3351802"/>
          <a:ext cx="457200" cy="42009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314325</xdr:colOff>
          <xdr:row>11</xdr:row>
          <xdr:rowOff>0</xdr:rowOff>
        </xdr:from>
        <xdr:to>
          <xdr:col>2</xdr:col>
          <xdr:colOff>19050</xdr:colOff>
          <xdr:row>12</xdr:row>
          <xdr:rowOff>0</xdr:rowOff>
        </xdr:to>
        <xdr:sp macro="" textlink="">
          <xdr:nvSpPr>
            <xdr:cNvPr id="21505" name="Spinner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75559</xdr:colOff>
      <xdr:row>5</xdr:row>
      <xdr:rowOff>2381</xdr:rowOff>
    </xdr:from>
    <xdr:to>
      <xdr:col>18</xdr:col>
      <xdr:colOff>148339</xdr:colOff>
      <xdr:row>10</xdr:row>
      <xdr:rowOff>101496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61413</xdr:colOff>
      <xdr:row>10</xdr:row>
      <xdr:rowOff>39037</xdr:rowOff>
    </xdr:from>
    <xdr:to>
      <xdr:col>18</xdr:col>
      <xdr:colOff>140532</xdr:colOff>
      <xdr:row>15</xdr:row>
      <xdr:rowOff>101497</xdr:rowOff>
    </xdr:to>
    <xdr:graphicFrame macro="">
      <xdr:nvGraphicFramePr>
        <xdr:cNvPr id="15" name="Graphique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87501</xdr:colOff>
      <xdr:row>5</xdr:row>
      <xdr:rowOff>272835</xdr:rowOff>
    </xdr:from>
    <xdr:to>
      <xdr:col>1</xdr:col>
      <xdr:colOff>525651</xdr:colOff>
      <xdr:row>6</xdr:row>
      <xdr:rowOff>473506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1950" y="2000250"/>
          <a:ext cx="438150" cy="483192"/>
        </a:xfrm>
        <a:prstGeom prst="rect">
          <a:avLst/>
        </a:prstGeom>
      </xdr:spPr>
    </xdr:pic>
    <xdr:clientData/>
  </xdr:twoCellAnchor>
  <xdr:twoCellAnchor editAs="oneCell">
    <xdr:from>
      <xdr:col>14</xdr:col>
      <xdr:colOff>309109</xdr:colOff>
      <xdr:row>9</xdr:row>
      <xdr:rowOff>56567</xdr:rowOff>
    </xdr:from>
    <xdr:to>
      <xdr:col>14</xdr:col>
      <xdr:colOff>747259</xdr:colOff>
      <xdr:row>10</xdr:row>
      <xdr:rowOff>372761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0502" y="3320051"/>
          <a:ext cx="438150" cy="4879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104773</xdr:colOff>
      <xdr:row>3</xdr:row>
      <xdr:rowOff>38100</xdr:rowOff>
    </xdr:from>
    <xdr:to>
      <xdr:col>3</xdr:col>
      <xdr:colOff>552449</xdr:colOff>
      <xdr:row>3</xdr:row>
      <xdr:rowOff>295276</xdr:rowOff>
    </xdr:to>
    <xdr:sp macro="" textlink="">
      <xdr:nvSpPr>
        <xdr:cNvPr id="2" name="Plaque 1">
          <a:hlinkClick xmlns:r="http://schemas.openxmlformats.org/officeDocument/2006/relationships" r:id="rId1"/>
        </xdr:cNvPr>
        <xdr:cNvSpPr/>
      </xdr:nvSpPr>
      <xdr:spPr>
        <a:xfrm>
          <a:off x="447673" y="1257300"/>
          <a:ext cx="800101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3</xdr:col>
      <xdr:colOff>676275</xdr:colOff>
      <xdr:row>3</xdr:row>
      <xdr:rowOff>47624</xdr:rowOff>
    </xdr:from>
    <xdr:to>
      <xdr:col>3</xdr:col>
      <xdr:colOff>1619250</xdr:colOff>
      <xdr:row>3</xdr:row>
      <xdr:rowOff>285749</xdr:rowOff>
    </xdr:to>
    <xdr:sp macro="[0]!EffaceBilan" textlink="">
      <xdr:nvSpPr>
        <xdr:cNvPr id="4" name="Plaque 3"/>
        <xdr:cNvSpPr/>
      </xdr:nvSpPr>
      <xdr:spPr>
        <a:xfrm>
          <a:off x="1371600" y="1266824"/>
          <a:ext cx="942975" cy="23812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16</xdr:col>
      <xdr:colOff>657225</xdr:colOff>
      <xdr:row>3</xdr:row>
      <xdr:rowOff>28575</xdr:rowOff>
    </xdr:from>
    <xdr:to>
      <xdr:col>17</xdr:col>
      <xdr:colOff>171451</xdr:colOff>
      <xdr:row>3</xdr:row>
      <xdr:rowOff>295275</xdr:rowOff>
    </xdr:to>
    <xdr:sp macro="[0]!message8" textlink="">
      <xdr:nvSpPr>
        <xdr:cNvPr id="6" name="Ellipse 5"/>
        <xdr:cNvSpPr/>
      </xdr:nvSpPr>
      <xdr:spPr>
        <a:xfrm>
          <a:off x="7391400" y="1247775"/>
          <a:ext cx="276226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12</xdr:col>
      <xdr:colOff>857250</xdr:colOff>
      <xdr:row>0</xdr:row>
      <xdr:rowOff>95250</xdr:rowOff>
    </xdr:from>
    <xdr:to>
      <xdr:col>16</xdr:col>
      <xdr:colOff>640292</xdr:colOff>
      <xdr:row>1</xdr:row>
      <xdr:rowOff>285750</xdr:rowOff>
    </xdr:to>
    <xdr:pic>
      <xdr:nvPicPr>
        <xdr:cNvPr id="7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15075" y="95250"/>
          <a:ext cx="1392767" cy="8953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4</xdr:col>
      <xdr:colOff>19050</xdr:colOff>
      <xdr:row>6</xdr:row>
      <xdr:rowOff>219075</xdr:rowOff>
    </xdr:from>
    <xdr:to>
      <xdr:col>4</xdr:col>
      <xdr:colOff>314325</xdr:colOff>
      <xdr:row>6</xdr:row>
      <xdr:rowOff>228600</xdr:rowOff>
    </xdr:to>
    <xdr:cxnSp macro="">
      <xdr:nvCxnSpPr>
        <xdr:cNvPr id="8" name="Connecteur droit avec flèche 7"/>
        <xdr:cNvCxnSpPr/>
      </xdr:nvCxnSpPr>
      <xdr:spPr>
        <a:xfrm>
          <a:off x="1952625" y="2362200"/>
          <a:ext cx="295275" cy="952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9</xdr:row>
      <xdr:rowOff>228600</xdr:rowOff>
    </xdr:from>
    <xdr:to>
      <xdr:col>6</xdr:col>
      <xdr:colOff>9525</xdr:colOff>
      <xdr:row>9</xdr:row>
      <xdr:rowOff>229399</xdr:rowOff>
    </xdr:to>
    <xdr:cxnSp macro="">
      <xdr:nvCxnSpPr>
        <xdr:cNvPr id="9" name="Connecteur droit avec flèche 8"/>
        <xdr:cNvCxnSpPr/>
      </xdr:nvCxnSpPr>
      <xdr:spPr>
        <a:xfrm>
          <a:off x="2381250" y="3114675"/>
          <a:ext cx="314325" cy="799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85725</xdr:colOff>
      <xdr:row>7</xdr:row>
      <xdr:rowOff>24297</xdr:rowOff>
    </xdr:from>
    <xdr:to>
      <xdr:col>3</xdr:col>
      <xdr:colOff>123825</xdr:colOff>
      <xdr:row>9</xdr:row>
      <xdr:rowOff>19696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2243622"/>
          <a:ext cx="390525" cy="433549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3</xdr:row>
      <xdr:rowOff>38100</xdr:rowOff>
    </xdr:from>
    <xdr:to>
      <xdr:col>7</xdr:col>
      <xdr:colOff>30481</xdr:colOff>
      <xdr:row>3</xdr:row>
      <xdr:rowOff>314325</xdr:rowOff>
    </xdr:to>
    <xdr:sp macro="[0]!ValFourr" textlink="">
      <xdr:nvSpPr>
        <xdr:cNvPr id="14" name="Plaque 13">
          <a:hlinkClick xmlns:r="http://schemas.openxmlformats.org/officeDocument/2006/relationships" r:id="rId4"/>
        </xdr:cNvPr>
        <xdr:cNvSpPr/>
      </xdr:nvSpPr>
      <xdr:spPr>
        <a:xfrm>
          <a:off x="2447926" y="1257300"/>
          <a:ext cx="792480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/>
  </xdr:twoCellAnchor>
  <xdr:twoCellAnchor editAs="oneCell">
    <xdr:from>
      <xdr:col>10</xdr:col>
      <xdr:colOff>781050</xdr:colOff>
      <xdr:row>22</xdr:row>
      <xdr:rowOff>0</xdr:rowOff>
    </xdr:from>
    <xdr:to>
      <xdr:col>12</xdr:col>
      <xdr:colOff>19050</xdr:colOff>
      <xdr:row>24</xdr:row>
      <xdr:rowOff>4924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3975" y="5581650"/>
          <a:ext cx="390525" cy="4335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104775</xdr:colOff>
          <xdr:row>25</xdr:row>
          <xdr:rowOff>0</xdr:rowOff>
        </xdr:from>
        <xdr:to>
          <xdr:col>10</xdr:col>
          <xdr:colOff>57150</xdr:colOff>
          <xdr:row>26</xdr:row>
          <xdr:rowOff>0</xdr:rowOff>
        </xdr:to>
        <xdr:sp macro="" textlink="">
          <xdr:nvSpPr>
            <xdr:cNvPr id="22529" name="Spinner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114300</xdr:colOff>
          <xdr:row>27</xdr:row>
          <xdr:rowOff>0</xdr:rowOff>
        </xdr:from>
        <xdr:to>
          <xdr:col>10</xdr:col>
          <xdr:colOff>66675</xdr:colOff>
          <xdr:row>28</xdr:row>
          <xdr:rowOff>0</xdr:rowOff>
        </xdr:to>
        <xdr:sp macro="" textlink="">
          <xdr:nvSpPr>
            <xdr:cNvPr id="22530" name="Spinner 2" hidden="1">
              <a:extLst>
                <a:ext uri="{63B3BB69-23CF-44E3-9099-C40C66FF867C}">
                  <a14:compatExt spid="_x0000_s22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114300</xdr:colOff>
          <xdr:row>29</xdr:row>
          <xdr:rowOff>0</xdr:rowOff>
        </xdr:from>
        <xdr:to>
          <xdr:col>10</xdr:col>
          <xdr:colOff>66675</xdr:colOff>
          <xdr:row>30</xdr:row>
          <xdr:rowOff>0</xdr:rowOff>
        </xdr:to>
        <xdr:sp macro="" textlink="">
          <xdr:nvSpPr>
            <xdr:cNvPr id="22531" name="Spinner 3" hidden="1">
              <a:extLst>
                <a:ext uri="{63B3BB69-23CF-44E3-9099-C40C66FF867C}">
                  <a14:compatExt spid="_x0000_s225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2</xdr:row>
      <xdr:rowOff>47624</xdr:rowOff>
    </xdr:from>
    <xdr:to>
      <xdr:col>2</xdr:col>
      <xdr:colOff>190500</xdr:colOff>
      <xdr:row>2</xdr:row>
      <xdr:rowOff>285749</xdr:rowOff>
    </xdr:to>
    <xdr:sp macro="" textlink="">
      <xdr:nvSpPr>
        <xdr:cNvPr id="4" name="Plaque 3">
          <a:hlinkClick xmlns:r="http://schemas.openxmlformats.org/officeDocument/2006/relationships" r:id="rId1"/>
        </xdr:cNvPr>
        <xdr:cNvSpPr/>
      </xdr:nvSpPr>
      <xdr:spPr>
        <a:xfrm>
          <a:off x="352424" y="1228724"/>
          <a:ext cx="923926" cy="23812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/>
  </xdr:twoCellAnchor>
  <xdr:twoCellAnchor>
    <xdr:from>
      <xdr:col>9</xdr:col>
      <xdr:colOff>438150</xdr:colOff>
      <xdr:row>2</xdr:row>
      <xdr:rowOff>47625</xdr:rowOff>
    </xdr:from>
    <xdr:to>
      <xdr:col>9</xdr:col>
      <xdr:colOff>723900</xdr:colOff>
      <xdr:row>2</xdr:row>
      <xdr:rowOff>314325</xdr:rowOff>
    </xdr:to>
    <xdr:sp macro="" textlink="">
      <xdr:nvSpPr>
        <xdr:cNvPr id="5" name="Ellipse 4"/>
        <xdr:cNvSpPr/>
      </xdr:nvSpPr>
      <xdr:spPr>
        <a:xfrm>
          <a:off x="6029325" y="1228725"/>
          <a:ext cx="285750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>
    <xdr:from>
      <xdr:col>2</xdr:col>
      <xdr:colOff>495300</xdr:colOff>
      <xdr:row>2</xdr:row>
      <xdr:rowOff>47625</xdr:rowOff>
    </xdr:from>
    <xdr:to>
      <xdr:col>4</xdr:col>
      <xdr:colOff>38101</xdr:colOff>
      <xdr:row>2</xdr:row>
      <xdr:rowOff>304799</xdr:rowOff>
    </xdr:to>
    <xdr:sp macro="[0]!ValMél" textlink="">
      <xdr:nvSpPr>
        <xdr:cNvPr id="6" name="Plaque 5"/>
        <xdr:cNvSpPr/>
      </xdr:nvSpPr>
      <xdr:spPr>
        <a:xfrm>
          <a:off x="1581150" y="1228725"/>
          <a:ext cx="790576" cy="257174"/>
        </a:xfrm>
        <a:prstGeom prst="bevel">
          <a:avLst/>
        </a:prstGeom>
        <a:solidFill>
          <a:srgbClr val="C00000"/>
        </a:solidFill>
        <a:ln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100" b="1"/>
            <a:t>VALIDER</a:t>
          </a:r>
        </a:p>
      </xdr:txBody>
    </xdr:sp>
    <xdr:clientData/>
  </xdr:twoCellAnchor>
  <xdr:twoCellAnchor editAs="oneCell">
    <xdr:from>
      <xdr:col>7</xdr:col>
      <xdr:colOff>1143000</xdr:colOff>
      <xdr:row>0</xdr:row>
      <xdr:rowOff>9525</xdr:rowOff>
    </xdr:from>
    <xdr:to>
      <xdr:col>10</xdr:col>
      <xdr:colOff>155575</xdr:colOff>
      <xdr:row>1</xdr:row>
      <xdr:rowOff>193221</xdr:rowOff>
    </xdr:to>
    <xdr:pic>
      <xdr:nvPicPr>
        <xdr:cNvPr id="7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43525" y="9525"/>
          <a:ext cx="1441450" cy="926646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3</xdr:row>
      <xdr:rowOff>38100</xdr:rowOff>
    </xdr:from>
    <xdr:to>
      <xdr:col>2</xdr:col>
      <xdr:colOff>285750</xdr:colOff>
      <xdr:row>3</xdr:row>
      <xdr:rowOff>295276</xdr:rowOff>
    </xdr:to>
    <xdr:sp macro="" textlink="">
      <xdr:nvSpPr>
        <xdr:cNvPr id="2" name="Plaque 1">
          <a:hlinkClick xmlns:r="http://schemas.openxmlformats.org/officeDocument/2006/relationships" r:id="rId1"/>
        </xdr:cNvPr>
        <xdr:cNvSpPr/>
      </xdr:nvSpPr>
      <xdr:spPr>
        <a:xfrm>
          <a:off x="380999" y="1438275"/>
          <a:ext cx="733426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419098</xdr:colOff>
      <xdr:row>3</xdr:row>
      <xdr:rowOff>38099</xdr:rowOff>
    </xdr:from>
    <xdr:to>
      <xdr:col>2</xdr:col>
      <xdr:colOff>1371600</xdr:colOff>
      <xdr:row>3</xdr:row>
      <xdr:rowOff>295274</xdr:rowOff>
    </xdr:to>
    <xdr:sp macro="" textlink="">
      <xdr:nvSpPr>
        <xdr:cNvPr id="3" name="Plaque 2">
          <a:hlinkClick xmlns:r="http://schemas.openxmlformats.org/officeDocument/2006/relationships" r:id="rId2"/>
        </xdr:cNvPr>
        <xdr:cNvSpPr/>
      </xdr:nvSpPr>
      <xdr:spPr>
        <a:xfrm>
          <a:off x="1247773" y="1343024"/>
          <a:ext cx="952502" cy="257175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IMPRIMER</a:t>
          </a:r>
        </a:p>
      </xdr:txBody>
    </xdr:sp>
    <xdr:clientData/>
  </xdr:twoCellAnchor>
  <xdr:twoCellAnchor>
    <xdr:from>
      <xdr:col>17</xdr:col>
      <xdr:colOff>279538</xdr:colOff>
      <xdr:row>3</xdr:row>
      <xdr:rowOff>46382</xdr:rowOff>
    </xdr:from>
    <xdr:to>
      <xdr:col>17</xdr:col>
      <xdr:colOff>565288</xdr:colOff>
      <xdr:row>3</xdr:row>
      <xdr:rowOff>313082</xdr:rowOff>
    </xdr:to>
    <xdr:sp macro="[0]!message5" textlink="">
      <xdr:nvSpPr>
        <xdr:cNvPr id="7" name="Ellipse 6"/>
        <xdr:cNvSpPr/>
      </xdr:nvSpPr>
      <xdr:spPr>
        <a:xfrm>
          <a:off x="9812821" y="1355034"/>
          <a:ext cx="285750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16</xdr:col>
      <xdr:colOff>163998</xdr:colOff>
      <xdr:row>0</xdr:row>
      <xdr:rowOff>95102</xdr:rowOff>
    </xdr:from>
    <xdr:to>
      <xdr:col>19</xdr:col>
      <xdr:colOff>35802</xdr:colOff>
      <xdr:row>1</xdr:row>
      <xdr:rowOff>284922</xdr:rowOff>
    </xdr:to>
    <xdr:pic>
      <xdr:nvPicPr>
        <xdr:cNvPr id="8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984976" y="95102"/>
          <a:ext cx="1462065" cy="943537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2</xdr:col>
      <xdr:colOff>47625</xdr:colOff>
      <xdr:row>26</xdr:row>
      <xdr:rowOff>76200</xdr:rowOff>
    </xdr:from>
    <xdr:to>
      <xdr:col>2</xdr:col>
      <xdr:colOff>1000125</xdr:colOff>
      <xdr:row>26</xdr:row>
      <xdr:rowOff>76200</xdr:rowOff>
    </xdr:to>
    <xdr:cxnSp macro="">
      <xdr:nvCxnSpPr>
        <xdr:cNvPr id="10" name="Connecteur droit 9"/>
        <xdr:cNvCxnSpPr/>
      </xdr:nvCxnSpPr>
      <xdr:spPr>
        <a:xfrm>
          <a:off x="876300" y="8391525"/>
          <a:ext cx="9525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405765</xdr:colOff>
      <xdr:row>3</xdr:row>
      <xdr:rowOff>38100</xdr:rowOff>
    </xdr:from>
    <xdr:to>
      <xdr:col>6</xdr:col>
      <xdr:colOff>7620</xdr:colOff>
      <xdr:row>3</xdr:row>
      <xdr:rowOff>314325</xdr:rowOff>
    </xdr:to>
    <xdr:sp macro="[0]!ValFourr" textlink="">
      <xdr:nvSpPr>
        <xdr:cNvPr id="9" name="Plaque 8">
          <a:hlinkClick xmlns:r="http://schemas.openxmlformats.org/officeDocument/2006/relationships" r:id="rId4"/>
        </xdr:cNvPr>
        <xdr:cNvSpPr/>
      </xdr:nvSpPr>
      <xdr:spPr>
        <a:xfrm>
          <a:off x="3329940" y="1343025"/>
          <a:ext cx="763905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/>
  </xdr:twoCellAnchor>
  <xdr:twoCellAnchor editAs="oneCell">
    <xdr:from>
      <xdr:col>3</xdr:col>
      <xdr:colOff>523875</xdr:colOff>
      <xdr:row>31</xdr:row>
      <xdr:rowOff>85725</xdr:rowOff>
    </xdr:from>
    <xdr:to>
      <xdr:col>4</xdr:col>
      <xdr:colOff>440267</xdr:colOff>
      <xdr:row>33</xdr:row>
      <xdr:rowOff>75967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5" y="10096500"/>
          <a:ext cx="497417" cy="552217"/>
        </a:xfrm>
        <a:prstGeom prst="rect">
          <a:avLst/>
        </a:prstGeom>
      </xdr:spPr>
    </xdr:pic>
    <xdr:clientData/>
  </xdr:twoCellAnchor>
  <xdr:twoCellAnchor>
    <xdr:from>
      <xdr:col>3</xdr:col>
      <xdr:colOff>28574</xdr:colOff>
      <xdr:row>3</xdr:row>
      <xdr:rowOff>38100</xdr:rowOff>
    </xdr:from>
    <xdr:to>
      <xdr:col>4</xdr:col>
      <xdr:colOff>238124</xdr:colOff>
      <xdr:row>3</xdr:row>
      <xdr:rowOff>295276</xdr:rowOff>
    </xdr:to>
    <xdr:sp macro="" textlink="">
      <xdr:nvSpPr>
        <xdr:cNvPr id="12" name="Plaque 11">
          <a:hlinkClick xmlns:r="http://schemas.openxmlformats.org/officeDocument/2006/relationships" r:id="rId6"/>
        </xdr:cNvPr>
        <xdr:cNvSpPr/>
      </xdr:nvSpPr>
      <xdr:spPr>
        <a:xfrm>
          <a:off x="2371724" y="1343025"/>
          <a:ext cx="790575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BILAN</a:t>
          </a:r>
        </a:p>
      </xdr:txBody>
    </xdr:sp>
    <xdr:clientData/>
  </xdr:twoCellAnchor>
  <xdr:twoCellAnchor>
    <xdr:from>
      <xdr:col>11</xdr:col>
      <xdr:colOff>104775</xdr:colOff>
      <xdr:row>22</xdr:row>
      <xdr:rowOff>356152</xdr:rowOff>
    </xdr:from>
    <xdr:to>
      <xdr:col>17</xdr:col>
      <xdr:colOff>666750</xdr:colOff>
      <xdr:row>30</xdr:row>
      <xdr:rowOff>347870</xdr:rowOff>
    </xdr:to>
    <xdr:graphicFrame macro="">
      <xdr:nvGraphicFramePr>
        <xdr:cNvPr id="14" name="Graphique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56736</xdr:colOff>
      <xdr:row>5</xdr:row>
      <xdr:rowOff>300358</xdr:rowOff>
    </xdr:from>
    <xdr:to>
      <xdr:col>12</xdr:col>
      <xdr:colOff>237711</xdr:colOff>
      <xdr:row>7</xdr:row>
      <xdr:rowOff>118207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99388" y="2155662"/>
          <a:ext cx="470866" cy="521871"/>
        </a:xfrm>
        <a:prstGeom prst="rect">
          <a:avLst/>
        </a:prstGeom>
      </xdr:spPr>
    </xdr:pic>
    <xdr:clientData/>
  </xdr:twoCellAnchor>
  <xdr:twoCellAnchor>
    <xdr:from>
      <xdr:col>10</xdr:col>
      <xdr:colOff>182216</xdr:colOff>
      <xdr:row>6</xdr:row>
      <xdr:rowOff>332132</xdr:rowOff>
    </xdr:from>
    <xdr:to>
      <xdr:col>18</xdr:col>
      <xdr:colOff>74543</xdr:colOff>
      <xdr:row>12</xdr:row>
      <xdr:rowOff>61083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512632</xdr:colOff>
      <xdr:row>13</xdr:row>
      <xdr:rowOff>335458</xdr:rowOff>
    </xdr:from>
    <xdr:to>
      <xdr:col>18</xdr:col>
      <xdr:colOff>17673</xdr:colOff>
      <xdr:row>21</xdr:row>
      <xdr:rowOff>4708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0</xdr:row>
      <xdr:rowOff>228600</xdr:rowOff>
    </xdr:from>
    <xdr:to>
      <xdr:col>14</xdr:col>
      <xdr:colOff>780097</xdr:colOff>
      <xdr:row>1</xdr:row>
      <xdr:rowOff>104775</xdr:rowOff>
    </xdr:to>
    <xdr:sp macro="" textlink="">
      <xdr:nvSpPr>
        <xdr:cNvPr id="6354" name="AutoShape 31"/>
        <xdr:cNvSpPr>
          <a:spLocks noChangeAspect="1" noChangeArrowheads="1"/>
        </xdr:cNvSpPr>
      </xdr:nvSpPr>
      <xdr:spPr bwMode="auto">
        <a:xfrm>
          <a:off x="6686550" y="228600"/>
          <a:ext cx="259080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104774</xdr:colOff>
      <xdr:row>3</xdr:row>
      <xdr:rowOff>38100</xdr:rowOff>
    </xdr:from>
    <xdr:to>
      <xdr:col>2</xdr:col>
      <xdr:colOff>228600</xdr:colOff>
      <xdr:row>3</xdr:row>
      <xdr:rowOff>295276</xdr:rowOff>
    </xdr:to>
    <xdr:sp macro="" textlink="">
      <xdr:nvSpPr>
        <xdr:cNvPr id="14" name="Plaque 13">
          <a:hlinkClick xmlns:r="http://schemas.openxmlformats.org/officeDocument/2006/relationships" r:id="rId1"/>
        </xdr:cNvPr>
        <xdr:cNvSpPr/>
      </xdr:nvSpPr>
      <xdr:spPr>
        <a:xfrm>
          <a:off x="379094" y="1280160"/>
          <a:ext cx="779146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396240</xdr:colOff>
      <xdr:row>3</xdr:row>
      <xdr:rowOff>41614</xdr:rowOff>
    </xdr:from>
    <xdr:to>
      <xdr:col>2</xdr:col>
      <xdr:colOff>1296186</xdr:colOff>
      <xdr:row>3</xdr:row>
      <xdr:rowOff>304406</xdr:rowOff>
    </xdr:to>
    <xdr:sp macro="[0]!EffaceCout" textlink="">
      <xdr:nvSpPr>
        <xdr:cNvPr id="16" name="Plaque 15"/>
        <xdr:cNvSpPr/>
      </xdr:nvSpPr>
      <xdr:spPr>
        <a:xfrm>
          <a:off x="1338920" y="1288702"/>
          <a:ext cx="899946" cy="262792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3</xdr:col>
      <xdr:colOff>116440</xdr:colOff>
      <xdr:row>3</xdr:row>
      <xdr:rowOff>33995</xdr:rowOff>
    </xdr:from>
    <xdr:to>
      <xdr:col>3</xdr:col>
      <xdr:colOff>1002265</xdr:colOff>
      <xdr:row>3</xdr:row>
      <xdr:rowOff>300695</xdr:rowOff>
    </xdr:to>
    <xdr:sp macro="" textlink="">
      <xdr:nvSpPr>
        <xdr:cNvPr id="17" name="Plaque 16">
          <a:hlinkClick xmlns:r="http://schemas.openxmlformats.org/officeDocument/2006/relationships" r:id="rId2"/>
        </xdr:cNvPr>
        <xdr:cNvSpPr/>
      </xdr:nvSpPr>
      <xdr:spPr>
        <a:xfrm>
          <a:off x="2424043" y="1281083"/>
          <a:ext cx="885825" cy="266700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IMPRIMER</a:t>
          </a:r>
        </a:p>
      </xdr:txBody>
    </xdr:sp>
    <xdr:clientData/>
  </xdr:twoCellAnchor>
  <xdr:twoCellAnchor>
    <xdr:from>
      <xdr:col>17</xdr:col>
      <xdr:colOff>363312</xdr:colOff>
      <xdr:row>3</xdr:row>
      <xdr:rowOff>47819</xdr:rowOff>
    </xdr:from>
    <xdr:to>
      <xdr:col>17</xdr:col>
      <xdr:colOff>639537</xdr:colOff>
      <xdr:row>3</xdr:row>
      <xdr:rowOff>314519</xdr:rowOff>
    </xdr:to>
    <xdr:sp macro="[0]!message12" textlink="">
      <xdr:nvSpPr>
        <xdr:cNvPr id="18" name="Ellipse 17"/>
        <xdr:cNvSpPr/>
      </xdr:nvSpPr>
      <xdr:spPr>
        <a:xfrm>
          <a:off x="11647521" y="1301620"/>
          <a:ext cx="276225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16</xdr:col>
      <xdr:colOff>645562</xdr:colOff>
      <xdr:row>0</xdr:row>
      <xdr:rowOff>17882</xdr:rowOff>
    </xdr:from>
    <xdr:to>
      <xdr:col>18</xdr:col>
      <xdr:colOff>127585</xdr:colOff>
      <xdr:row>1</xdr:row>
      <xdr:rowOff>332207</xdr:rowOff>
    </xdr:to>
    <xdr:pic>
      <xdr:nvPicPr>
        <xdr:cNvPr id="19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0588496" y="17882"/>
          <a:ext cx="1581410" cy="1014121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3</xdr:col>
      <xdr:colOff>1174608</xdr:colOff>
      <xdr:row>3</xdr:row>
      <xdr:rowOff>37805</xdr:rowOff>
    </xdr:from>
    <xdr:to>
      <xdr:col>4</xdr:col>
      <xdr:colOff>196392</xdr:colOff>
      <xdr:row>3</xdr:row>
      <xdr:rowOff>333865</xdr:rowOff>
    </xdr:to>
    <xdr:sp macro="" textlink="">
      <xdr:nvSpPr>
        <xdr:cNvPr id="8" name="Plaque 7">
          <a:hlinkClick xmlns:r="http://schemas.openxmlformats.org/officeDocument/2006/relationships" r:id="rId4"/>
        </xdr:cNvPr>
        <xdr:cNvSpPr/>
      </xdr:nvSpPr>
      <xdr:spPr>
        <a:xfrm>
          <a:off x="3482211" y="1284893"/>
          <a:ext cx="779490" cy="296060"/>
        </a:xfrm>
        <a:prstGeom prst="bevel">
          <a:avLst/>
        </a:prstGeom>
        <a:solidFill>
          <a:srgbClr val="C00000"/>
        </a:solidFill>
        <a:ln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threePt" dir="t"/>
        </a:scene3d>
        <a:sp3d prstMaterial="dkEdge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2</xdr:col>
      <xdr:colOff>198121</xdr:colOff>
      <xdr:row>7</xdr:row>
      <xdr:rowOff>38100</xdr:rowOff>
    </xdr:from>
    <xdr:to>
      <xdr:col>2</xdr:col>
      <xdr:colOff>200025</xdr:colOff>
      <xdr:row>8</xdr:row>
      <xdr:rowOff>84191</xdr:rowOff>
    </xdr:to>
    <xdr:cxnSp macro="">
      <xdr:nvCxnSpPr>
        <xdr:cNvPr id="9" name="Connecteur droit avec flèche 8"/>
        <xdr:cNvCxnSpPr/>
      </xdr:nvCxnSpPr>
      <xdr:spPr>
        <a:xfrm flipH="1">
          <a:off x="1102996" y="2686050"/>
          <a:ext cx="1904" cy="303266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104775</xdr:colOff>
      <xdr:row>4</xdr:row>
      <xdr:rowOff>285160</xdr:rowOff>
    </xdr:from>
    <xdr:to>
      <xdr:col>1</xdr:col>
      <xdr:colOff>542925</xdr:colOff>
      <xdr:row>5</xdr:row>
      <xdr:rowOff>152456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9904" y="1885753"/>
          <a:ext cx="438150" cy="485930"/>
        </a:xfrm>
        <a:prstGeom prst="rect">
          <a:avLst/>
        </a:prstGeom>
      </xdr:spPr>
    </xdr:pic>
    <xdr:clientData/>
  </xdr:twoCellAnchor>
  <xdr:twoCellAnchor editAs="oneCell">
    <xdr:from>
      <xdr:col>14</xdr:col>
      <xdr:colOff>407043</xdr:colOff>
      <xdr:row>4</xdr:row>
      <xdr:rowOff>165784</xdr:rowOff>
    </xdr:from>
    <xdr:to>
      <xdr:col>14</xdr:col>
      <xdr:colOff>845193</xdr:colOff>
      <xdr:row>5</xdr:row>
      <xdr:rowOff>33080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34859" y="1757303"/>
          <a:ext cx="438150" cy="482201"/>
        </a:xfrm>
        <a:prstGeom prst="rect">
          <a:avLst/>
        </a:prstGeom>
      </xdr:spPr>
    </xdr:pic>
    <xdr:clientData/>
  </xdr:twoCellAnchor>
  <xdr:twoCellAnchor>
    <xdr:from>
      <xdr:col>14</xdr:col>
      <xdr:colOff>114300</xdr:colOff>
      <xdr:row>7</xdr:row>
      <xdr:rowOff>95250</xdr:rowOff>
    </xdr:from>
    <xdr:to>
      <xdr:col>14</xdr:col>
      <xdr:colOff>118111</xdr:colOff>
      <xdr:row>8</xdr:row>
      <xdr:rowOff>124196</xdr:rowOff>
    </xdr:to>
    <xdr:cxnSp macro="">
      <xdr:nvCxnSpPr>
        <xdr:cNvPr id="12" name="Connecteur droit avec flèche 11"/>
        <xdr:cNvCxnSpPr/>
      </xdr:nvCxnSpPr>
      <xdr:spPr>
        <a:xfrm>
          <a:off x="8010525" y="2743200"/>
          <a:ext cx="3811" cy="286121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9</xdr:row>
          <xdr:rowOff>0</xdr:rowOff>
        </xdr:from>
        <xdr:to>
          <xdr:col>14</xdr:col>
          <xdr:colOff>266700</xdr:colOff>
          <xdr:row>9</xdr:row>
          <xdr:rowOff>371475</xdr:rowOff>
        </xdr:to>
        <xdr:sp macro="" textlink="">
          <xdr:nvSpPr>
            <xdr:cNvPr id="25601" name="Spinner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11</xdr:row>
          <xdr:rowOff>0</xdr:rowOff>
        </xdr:from>
        <xdr:to>
          <xdr:col>14</xdr:col>
          <xdr:colOff>266700</xdr:colOff>
          <xdr:row>11</xdr:row>
          <xdr:rowOff>371475</xdr:rowOff>
        </xdr:to>
        <xdr:sp macro="" textlink="">
          <xdr:nvSpPr>
            <xdr:cNvPr id="25603" name="Spinner 3" hidden="1">
              <a:extLst>
                <a:ext uri="{63B3BB69-23CF-44E3-9099-C40C66FF867C}">
                  <a14:compatExt spid="_x0000_s25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13</xdr:row>
          <xdr:rowOff>0</xdr:rowOff>
        </xdr:from>
        <xdr:to>
          <xdr:col>14</xdr:col>
          <xdr:colOff>266700</xdr:colOff>
          <xdr:row>13</xdr:row>
          <xdr:rowOff>371475</xdr:rowOff>
        </xdr:to>
        <xdr:sp macro="" textlink="">
          <xdr:nvSpPr>
            <xdr:cNvPr id="25604" name="Spinner 4" hidden="1">
              <a:extLst>
                <a:ext uri="{63B3BB69-23CF-44E3-9099-C40C66FF867C}">
                  <a14:compatExt spid="_x0000_s256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15</xdr:row>
          <xdr:rowOff>0</xdr:rowOff>
        </xdr:from>
        <xdr:to>
          <xdr:col>14</xdr:col>
          <xdr:colOff>266700</xdr:colOff>
          <xdr:row>15</xdr:row>
          <xdr:rowOff>371475</xdr:rowOff>
        </xdr:to>
        <xdr:sp macro="" textlink="">
          <xdr:nvSpPr>
            <xdr:cNvPr id="25605" name="Spinner 5" hidden="1">
              <a:extLst>
                <a:ext uri="{63B3BB69-23CF-44E3-9099-C40C66FF867C}">
                  <a14:compatExt spid="_x0000_s256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17</xdr:row>
          <xdr:rowOff>0</xdr:rowOff>
        </xdr:from>
        <xdr:to>
          <xdr:col>14</xdr:col>
          <xdr:colOff>266700</xdr:colOff>
          <xdr:row>17</xdr:row>
          <xdr:rowOff>371475</xdr:rowOff>
        </xdr:to>
        <xdr:sp macro="" textlink="">
          <xdr:nvSpPr>
            <xdr:cNvPr id="25606" name="Spinner 6" hidden="1">
              <a:extLst>
                <a:ext uri="{63B3BB69-23CF-44E3-9099-C40C66FF867C}">
                  <a14:compatExt spid="_x0000_s256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0</xdr:colOff>
          <xdr:row>19</xdr:row>
          <xdr:rowOff>0</xdr:rowOff>
        </xdr:from>
        <xdr:to>
          <xdr:col>14</xdr:col>
          <xdr:colOff>266700</xdr:colOff>
          <xdr:row>19</xdr:row>
          <xdr:rowOff>371475</xdr:rowOff>
        </xdr:to>
        <xdr:sp macro="" textlink="">
          <xdr:nvSpPr>
            <xdr:cNvPr id="25607" name="Spinner 7" hidden="1">
              <a:extLst>
                <a:ext uri="{63B3BB69-23CF-44E3-9099-C40C66FF867C}">
                  <a14:compatExt spid="_x0000_s256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14</xdr:col>
      <xdr:colOff>1176045</xdr:colOff>
      <xdr:row>4</xdr:row>
      <xdr:rowOff>602602</xdr:rowOff>
    </xdr:from>
    <xdr:to>
      <xdr:col>18</xdr:col>
      <xdr:colOff>29159</xdr:colOff>
      <xdr:row>23</xdr:row>
      <xdr:rowOff>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27</xdr:row>
      <xdr:rowOff>76200</xdr:rowOff>
    </xdr:from>
    <xdr:to>
      <xdr:col>2</xdr:col>
      <xdr:colOff>1000125</xdr:colOff>
      <xdr:row>27</xdr:row>
      <xdr:rowOff>76200</xdr:rowOff>
    </xdr:to>
    <xdr:cxnSp macro="">
      <xdr:nvCxnSpPr>
        <xdr:cNvPr id="12" name="Connecteur droit 11"/>
        <xdr:cNvCxnSpPr/>
      </xdr:nvCxnSpPr>
      <xdr:spPr>
        <a:xfrm>
          <a:off x="876300" y="8543925"/>
          <a:ext cx="9525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</xdr:colOff>
      <xdr:row>1</xdr:row>
      <xdr:rowOff>512445</xdr:rowOff>
    </xdr:from>
    <xdr:to>
      <xdr:col>2</xdr:col>
      <xdr:colOff>323851</xdr:colOff>
      <xdr:row>5</xdr:row>
      <xdr:rowOff>140451</xdr:rowOff>
    </xdr:to>
    <xdr:sp macro="" textlink="">
      <xdr:nvSpPr>
        <xdr:cNvPr id="5" name="Plaque 4">
          <a:hlinkClick xmlns:r="http://schemas.openxmlformats.org/officeDocument/2006/relationships" r:id="rId1"/>
        </xdr:cNvPr>
        <xdr:cNvSpPr/>
      </xdr:nvSpPr>
      <xdr:spPr>
        <a:xfrm>
          <a:off x="302895" y="512445"/>
          <a:ext cx="874396" cy="25284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 fPrintsWithSheet="0"/>
  </xdr:twoCellAnchor>
  <xdr:twoCellAnchor>
    <xdr:from>
      <xdr:col>2</xdr:col>
      <xdr:colOff>501015</xdr:colOff>
      <xdr:row>1</xdr:row>
      <xdr:rowOff>514350</xdr:rowOff>
    </xdr:from>
    <xdr:to>
      <xdr:col>2</xdr:col>
      <xdr:colOff>1362076</xdr:colOff>
      <xdr:row>5</xdr:row>
      <xdr:rowOff>142356</xdr:rowOff>
    </xdr:to>
    <xdr:sp macro="[0]!Imprim" textlink="">
      <xdr:nvSpPr>
        <xdr:cNvPr id="6" name="Plaque 5"/>
        <xdr:cNvSpPr/>
      </xdr:nvSpPr>
      <xdr:spPr>
        <a:xfrm>
          <a:off x="1354455" y="514350"/>
          <a:ext cx="861061" cy="25284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IMPRIMER</a:t>
          </a:r>
        </a:p>
      </xdr:txBody>
    </xdr:sp>
    <xdr:clientData fPrintsWithSheet="0"/>
  </xdr:twoCellAnchor>
  <xdr:twoCellAnchor>
    <xdr:from>
      <xdr:col>3</xdr:col>
      <xdr:colOff>28576</xdr:colOff>
      <xdr:row>1</xdr:row>
      <xdr:rowOff>514350</xdr:rowOff>
    </xdr:from>
    <xdr:to>
      <xdr:col>5</xdr:col>
      <xdr:colOff>257176</xdr:colOff>
      <xdr:row>5</xdr:row>
      <xdr:rowOff>142356</xdr:rowOff>
    </xdr:to>
    <xdr:sp macro="[0]!Sauv2" textlink="">
      <xdr:nvSpPr>
        <xdr:cNvPr id="9" name="Plaque 8"/>
        <xdr:cNvSpPr/>
      </xdr:nvSpPr>
      <xdr:spPr>
        <a:xfrm>
          <a:off x="2371726" y="514350"/>
          <a:ext cx="1390650" cy="25665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SAUVEGARDE PDF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104430</xdr:colOff>
      <xdr:row>2</xdr:row>
      <xdr:rowOff>212518</xdr:rowOff>
    </xdr:from>
    <xdr:to>
      <xdr:col>2</xdr:col>
      <xdr:colOff>250315</xdr:colOff>
      <xdr:row>3</xdr:row>
      <xdr:rowOff>52658</xdr:rowOff>
    </xdr:to>
    <xdr:sp macro="" textlink="">
      <xdr:nvSpPr>
        <xdr:cNvPr id="4" name="Plaque 3">
          <a:hlinkClick xmlns:r="http://schemas.openxmlformats.org/officeDocument/2006/relationships" r:id="rId1"/>
        </xdr:cNvPr>
        <xdr:cNvSpPr/>
      </xdr:nvSpPr>
      <xdr:spPr>
        <a:xfrm>
          <a:off x="290551" y="924156"/>
          <a:ext cx="846574" cy="24522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</a:p>
      </xdr:txBody>
    </xdr:sp>
    <xdr:clientData fPrintsWithSheet="0"/>
  </xdr:twoCellAnchor>
  <xdr:twoCellAnchor>
    <xdr:from>
      <xdr:col>2</xdr:col>
      <xdr:colOff>425496</xdr:colOff>
      <xdr:row>2</xdr:row>
      <xdr:rowOff>223567</xdr:rowOff>
    </xdr:from>
    <xdr:to>
      <xdr:col>2</xdr:col>
      <xdr:colOff>1287408</xdr:colOff>
      <xdr:row>3</xdr:row>
      <xdr:rowOff>63707</xdr:rowOff>
    </xdr:to>
    <xdr:sp macro="[0]!Imprim2" textlink="">
      <xdr:nvSpPr>
        <xdr:cNvPr id="6" name="Plaque 5"/>
        <xdr:cNvSpPr/>
      </xdr:nvSpPr>
      <xdr:spPr>
        <a:xfrm>
          <a:off x="1312306" y="935205"/>
          <a:ext cx="861912" cy="24522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IMPRIMER</a:t>
          </a:r>
        </a:p>
      </xdr:txBody>
    </xdr:sp>
    <xdr:clientData fPrintsWithSheet="0"/>
  </xdr:twoCellAnchor>
  <xdr:twoCellAnchor>
    <xdr:from>
      <xdr:col>2</xdr:col>
      <xdr:colOff>1464221</xdr:colOff>
      <xdr:row>2</xdr:row>
      <xdr:rowOff>230023</xdr:rowOff>
    </xdr:from>
    <xdr:to>
      <xdr:col>4</xdr:col>
      <xdr:colOff>213380</xdr:colOff>
      <xdr:row>3</xdr:row>
      <xdr:rowOff>81593</xdr:rowOff>
    </xdr:to>
    <xdr:sp macro="[0]!Sauv" textlink="">
      <xdr:nvSpPr>
        <xdr:cNvPr id="8" name="Plaque 7"/>
        <xdr:cNvSpPr/>
      </xdr:nvSpPr>
      <xdr:spPr>
        <a:xfrm>
          <a:off x="2351031" y="941661"/>
          <a:ext cx="1343901" cy="25665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SAUVEGARDE PDF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132484</xdr:colOff>
      <xdr:row>22</xdr:row>
      <xdr:rowOff>44161</xdr:rowOff>
    </xdr:from>
    <xdr:to>
      <xdr:col>1</xdr:col>
      <xdr:colOff>396586</xdr:colOff>
      <xdr:row>23</xdr:row>
      <xdr:rowOff>1731</xdr:rowOff>
    </xdr:to>
    <xdr:sp macro="" textlink="">
      <xdr:nvSpPr>
        <xdr:cNvPr id="12" name="Rectangle 11"/>
        <xdr:cNvSpPr/>
      </xdr:nvSpPr>
      <xdr:spPr>
        <a:xfrm>
          <a:off x="288348" y="6036252"/>
          <a:ext cx="264102" cy="399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2000" b="1">
              <a:solidFill>
                <a:srgbClr val="C00000"/>
              </a:solidFill>
            </a:rPr>
            <a:t>4</a:t>
          </a:r>
        </a:p>
      </xdr:txBody>
    </xdr:sp>
    <xdr:clientData/>
  </xdr:twoCellAnchor>
  <xdr:twoCellAnchor>
    <xdr:from>
      <xdr:col>1</xdr:col>
      <xdr:colOff>314326</xdr:colOff>
      <xdr:row>3</xdr:row>
      <xdr:rowOff>28575</xdr:rowOff>
    </xdr:from>
    <xdr:to>
      <xdr:col>2</xdr:col>
      <xdr:colOff>811532</xdr:colOff>
      <xdr:row>3</xdr:row>
      <xdr:rowOff>314325</xdr:rowOff>
    </xdr:to>
    <xdr:sp macro="" textlink="">
      <xdr:nvSpPr>
        <xdr:cNvPr id="2" name="Plaque 1">
          <a:hlinkClick xmlns:r="http://schemas.openxmlformats.org/officeDocument/2006/relationships" r:id="rId1"/>
        </xdr:cNvPr>
        <xdr:cNvSpPr/>
      </xdr:nvSpPr>
      <xdr:spPr>
        <a:xfrm>
          <a:off x="476251" y="1438275"/>
          <a:ext cx="916306" cy="285750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4</xdr:col>
      <xdr:colOff>0</xdr:colOff>
      <xdr:row>3</xdr:row>
      <xdr:rowOff>38100</xdr:rowOff>
    </xdr:from>
    <xdr:to>
      <xdr:col>5</xdr:col>
      <xdr:colOff>247652</xdr:colOff>
      <xdr:row>3</xdr:row>
      <xdr:rowOff>304800</xdr:rowOff>
    </xdr:to>
    <xdr:sp macro="[0]!EffaceAgneau" textlink="">
      <xdr:nvSpPr>
        <xdr:cNvPr id="3" name="Plaque 2"/>
        <xdr:cNvSpPr/>
      </xdr:nvSpPr>
      <xdr:spPr>
        <a:xfrm>
          <a:off x="1628775" y="1447800"/>
          <a:ext cx="904877" cy="266700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27</xdr:col>
      <xdr:colOff>162378</xdr:colOff>
      <xdr:row>3</xdr:row>
      <xdr:rowOff>56243</xdr:rowOff>
    </xdr:from>
    <xdr:to>
      <xdr:col>27</xdr:col>
      <xdr:colOff>474889</xdr:colOff>
      <xdr:row>3</xdr:row>
      <xdr:rowOff>322943</xdr:rowOff>
    </xdr:to>
    <xdr:sp macro="[0]!message10" textlink="">
      <xdr:nvSpPr>
        <xdr:cNvPr id="4" name="Ellipse 3"/>
        <xdr:cNvSpPr/>
      </xdr:nvSpPr>
      <xdr:spPr>
        <a:xfrm>
          <a:off x="13778592" y="1462314"/>
          <a:ext cx="312511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</xdr:col>
      <xdr:colOff>339351</xdr:colOff>
      <xdr:row>0</xdr:row>
      <xdr:rowOff>10583</xdr:rowOff>
    </xdr:from>
    <xdr:to>
      <xdr:col>5</xdr:col>
      <xdr:colOff>44449</xdr:colOff>
      <xdr:row>1</xdr:row>
      <xdr:rowOff>379684</xdr:rowOff>
    </xdr:to>
    <xdr:pic>
      <xdr:nvPicPr>
        <xdr:cNvPr id="5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7518" y="10583"/>
          <a:ext cx="1768848" cy="1141684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4</xdr:col>
      <xdr:colOff>562747</xdr:colOff>
      <xdr:row>22</xdr:row>
      <xdr:rowOff>127003</xdr:rowOff>
    </xdr:from>
    <xdr:to>
      <xdr:col>4</xdr:col>
      <xdr:colOff>571503</xdr:colOff>
      <xdr:row>22</xdr:row>
      <xdr:rowOff>426607</xdr:rowOff>
    </xdr:to>
    <xdr:cxnSp macro="">
      <xdr:nvCxnSpPr>
        <xdr:cNvPr id="8" name="Connecteur droit avec flèche 7"/>
        <xdr:cNvCxnSpPr/>
      </xdr:nvCxnSpPr>
      <xdr:spPr>
        <a:xfrm flipH="1">
          <a:off x="2139664" y="6762753"/>
          <a:ext cx="8756" cy="299604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142875</xdr:colOff>
          <xdr:row>7</xdr:row>
          <xdr:rowOff>142875</xdr:rowOff>
        </xdr:from>
        <xdr:to>
          <xdr:col>2</xdr:col>
          <xdr:colOff>209550</xdr:colOff>
          <xdr:row>9</xdr:row>
          <xdr:rowOff>47625</xdr:rowOff>
        </xdr:to>
        <xdr:sp macro="" textlink="">
          <xdr:nvSpPr>
            <xdr:cNvPr id="16385" name="Option Button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Mâle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257175</xdr:colOff>
          <xdr:row>7</xdr:row>
          <xdr:rowOff>142875</xdr:rowOff>
        </xdr:from>
        <xdr:to>
          <xdr:col>3</xdr:col>
          <xdr:colOff>57150</xdr:colOff>
          <xdr:row>9</xdr:row>
          <xdr:rowOff>38100</xdr:rowOff>
        </xdr:to>
        <xdr:sp macro="" textlink="">
          <xdr:nvSpPr>
            <xdr:cNvPr id="16386" name="Option Button 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Femelle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</xdr:row>
          <xdr:rowOff>57150</xdr:rowOff>
        </xdr:from>
        <xdr:to>
          <xdr:col>3</xdr:col>
          <xdr:colOff>57150</xdr:colOff>
          <xdr:row>10</xdr:row>
          <xdr:rowOff>95250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Race à viande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381000</xdr:colOff>
          <xdr:row>8</xdr:row>
          <xdr:rowOff>0</xdr:rowOff>
        </xdr:from>
        <xdr:to>
          <xdr:col>15</xdr:col>
          <xdr:colOff>0</xdr:colOff>
          <xdr:row>10</xdr:row>
          <xdr:rowOff>0</xdr:rowOff>
        </xdr:to>
        <xdr:sp macro="" textlink="">
          <xdr:nvSpPr>
            <xdr:cNvPr id="16423" name="Spinner 39" hidden="1">
              <a:extLst>
                <a:ext uri="{63B3BB69-23CF-44E3-9099-C40C66FF867C}">
                  <a14:compatExt spid="_x0000_s16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xdr:twoCellAnchor>
    <xdr:from>
      <xdr:col>22</xdr:col>
      <xdr:colOff>432938</xdr:colOff>
      <xdr:row>0</xdr:row>
      <xdr:rowOff>463510</xdr:rowOff>
    </xdr:from>
    <xdr:to>
      <xdr:col>26</xdr:col>
      <xdr:colOff>29811</xdr:colOff>
      <xdr:row>3</xdr:row>
      <xdr:rowOff>149193</xdr:rowOff>
    </xdr:to>
    <xdr:sp macro="" textlink="">
      <xdr:nvSpPr>
        <xdr:cNvPr id="6" name="ZoneTexte 5"/>
        <xdr:cNvSpPr txBox="1"/>
      </xdr:nvSpPr>
      <xdr:spPr>
        <a:xfrm rot="986543">
          <a:off x="10338938" y="463510"/>
          <a:ext cx="3263998" cy="1095383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  <a:effectLst>
          <a:glow rad="228600">
            <a:schemeClr val="accent2">
              <a:satMod val="175000"/>
              <a:alpha val="40000"/>
            </a:schemeClr>
          </a:glow>
        </a:effectLst>
        <a:scene3d>
          <a:camera prst="orthographicFront">
            <a:rot lat="0" lon="0" rev="6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400" b="1" u="sng">
              <a:solidFill>
                <a:srgbClr val="C00000"/>
              </a:solidFill>
            </a:rPr>
            <a:t>ATTENTION !</a:t>
          </a:r>
          <a:r>
            <a:rPr lang="fr-FR" sz="1400" b="1" u="none">
              <a:solidFill>
                <a:srgbClr val="C00000"/>
              </a:solidFill>
            </a:rPr>
            <a:t>    </a:t>
          </a:r>
          <a:r>
            <a:rPr lang="fr-FR" sz="1400" b="1" i="1">
              <a:solidFill>
                <a:schemeClr val="tx2">
                  <a:lumMod val="50000"/>
                </a:schemeClr>
              </a:solidFill>
            </a:rPr>
            <a:t>Il est nécessaire de faire une longue transition alimentaire pour les agneaux d’herbe et d'utiliser un </a:t>
          </a:r>
          <a:r>
            <a:rPr lang="fr-FR" sz="1400" b="1" i="1">
              <a:solidFill>
                <a:srgbClr val="C00000"/>
              </a:solidFill>
            </a:rPr>
            <a:t>aliment basse énergie </a:t>
          </a:r>
        </a:p>
      </xdr:txBody>
    </xdr:sp>
    <xdr:clientData/>
  </xdr:twoCellAnchor>
  <xdr:twoCellAnchor>
    <xdr:from>
      <xdr:col>5</xdr:col>
      <xdr:colOff>482600</xdr:colOff>
      <xdr:row>3</xdr:row>
      <xdr:rowOff>40822</xdr:rowOff>
    </xdr:from>
    <xdr:to>
      <xdr:col>7</xdr:col>
      <xdr:colOff>359833</xdr:colOff>
      <xdr:row>3</xdr:row>
      <xdr:rowOff>322243</xdr:rowOff>
    </xdr:to>
    <xdr:sp macro="" textlink="">
      <xdr:nvSpPr>
        <xdr:cNvPr id="42" name="Plaque 41">
          <a:hlinkClick xmlns:r="http://schemas.openxmlformats.org/officeDocument/2006/relationships" r:id="rId3"/>
        </xdr:cNvPr>
        <xdr:cNvSpPr/>
      </xdr:nvSpPr>
      <xdr:spPr>
        <a:xfrm>
          <a:off x="2694517" y="1448405"/>
          <a:ext cx="1147233" cy="281421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MES ALIMENTS</a:t>
          </a:r>
        </a:p>
      </xdr:txBody>
    </xdr:sp>
    <xdr:clientData/>
  </xdr:twoCellAnchor>
  <xdr:twoCellAnchor>
    <xdr:from>
      <xdr:col>20</xdr:col>
      <xdr:colOff>226879</xdr:colOff>
      <xdr:row>4</xdr:row>
      <xdr:rowOff>128198</xdr:rowOff>
    </xdr:from>
    <xdr:to>
      <xdr:col>20</xdr:col>
      <xdr:colOff>227744</xdr:colOff>
      <xdr:row>5</xdr:row>
      <xdr:rowOff>234250</xdr:rowOff>
    </xdr:to>
    <xdr:cxnSp macro="">
      <xdr:nvCxnSpPr>
        <xdr:cNvPr id="43" name="Connecteur droit avec flèche 42"/>
        <xdr:cNvCxnSpPr/>
      </xdr:nvCxnSpPr>
      <xdr:spPr>
        <a:xfrm rot="16200000" flipH="1">
          <a:off x="8065748" y="2042929"/>
          <a:ext cx="287027" cy="865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47625</xdr:colOff>
      <xdr:row>4</xdr:row>
      <xdr:rowOff>35718</xdr:rowOff>
    </xdr:from>
    <xdr:to>
      <xdr:col>20</xdr:col>
      <xdr:colOff>92868</xdr:colOff>
      <xdr:row>5</xdr:row>
      <xdr:rowOff>343545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3781" y="1797843"/>
          <a:ext cx="438150" cy="486421"/>
        </a:xfrm>
        <a:prstGeom prst="rect">
          <a:avLst/>
        </a:prstGeom>
      </xdr:spPr>
    </xdr:pic>
    <xdr:clientData/>
  </xdr:twoCellAnchor>
  <xdr:twoCellAnchor editAs="oneCell">
    <xdr:from>
      <xdr:col>11</xdr:col>
      <xdr:colOff>59531</xdr:colOff>
      <xdr:row>10</xdr:row>
      <xdr:rowOff>23812</xdr:rowOff>
    </xdr:from>
    <xdr:to>
      <xdr:col>12</xdr:col>
      <xdr:colOff>295275</xdr:colOff>
      <xdr:row>11</xdr:row>
      <xdr:rowOff>248296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83906" y="3298031"/>
          <a:ext cx="438150" cy="486421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5</xdr:row>
      <xdr:rowOff>63500</xdr:rowOff>
    </xdr:from>
    <xdr:to>
      <xdr:col>2</xdr:col>
      <xdr:colOff>66409</xdr:colOff>
      <xdr:row>6</xdr:row>
      <xdr:rowOff>179502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2010833"/>
          <a:ext cx="436826" cy="487743"/>
        </a:xfrm>
        <a:prstGeom prst="rect">
          <a:avLst/>
        </a:prstGeom>
      </xdr:spPr>
    </xdr:pic>
    <xdr:clientData/>
  </xdr:twoCellAnchor>
  <xdr:twoCellAnchor>
    <xdr:from>
      <xdr:col>3</xdr:col>
      <xdr:colOff>92276</xdr:colOff>
      <xdr:row>10</xdr:row>
      <xdr:rowOff>21170</xdr:rowOff>
    </xdr:from>
    <xdr:to>
      <xdr:col>3</xdr:col>
      <xdr:colOff>95253</xdr:colOff>
      <xdr:row>11</xdr:row>
      <xdr:rowOff>100900</xdr:rowOff>
    </xdr:to>
    <xdr:cxnSp macro="">
      <xdr:nvCxnSpPr>
        <xdr:cNvPr id="18" name="Connecteur droit avec flèche 17"/>
        <xdr:cNvCxnSpPr/>
      </xdr:nvCxnSpPr>
      <xdr:spPr>
        <a:xfrm flipH="1">
          <a:off x="1446943" y="3323170"/>
          <a:ext cx="2977" cy="344313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75406</xdr:colOff>
      <xdr:row>22</xdr:row>
      <xdr:rowOff>27782</xdr:rowOff>
    </xdr:from>
    <xdr:to>
      <xdr:col>5</xdr:col>
      <xdr:colOff>512233</xdr:colOff>
      <xdr:row>22</xdr:row>
      <xdr:rowOff>511557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7323" y="6663532"/>
          <a:ext cx="436827" cy="48906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762000</xdr:colOff>
          <xdr:row>22</xdr:row>
          <xdr:rowOff>523875</xdr:rowOff>
        </xdr:from>
        <xdr:to>
          <xdr:col>3</xdr:col>
          <xdr:colOff>152400</xdr:colOff>
          <xdr:row>25</xdr:row>
          <xdr:rowOff>9525</xdr:rowOff>
        </xdr:to>
        <xdr:sp macro="" textlink="">
          <xdr:nvSpPr>
            <xdr:cNvPr id="16424" name="Spinner 40" hidden="1">
              <a:extLst>
                <a:ext uri="{63B3BB69-23CF-44E3-9099-C40C66FF867C}">
                  <a14:compatExt spid="_x0000_s16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19</xdr:col>
      <xdr:colOff>130968</xdr:colOff>
      <xdr:row>22</xdr:row>
      <xdr:rowOff>23814</xdr:rowOff>
    </xdr:from>
    <xdr:to>
      <xdr:col>20</xdr:col>
      <xdr:colOff>378618</xdr:colOff>
      <xdr:row>22</xdr:row>
      <xdr:rowOff>510235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0031" y="6738939"/>
          <a:ext cx="438150" cy="48642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104773</xdr:colOff>
      <xdr:row>3</xdr:row>
      <xdr:rowOff>38100</xdr:rowOff>
    </xdr:from>
    <xdr:to>
      <xdr:col>2</xdr:col>
      <xdr:colOff>9524</xdr:colOff>
      <xdr:row>3</xdr:row>
      <xdr:rowOff>295276</xdr:rowOff>
    </xdr:to>
    <xdr:sp macro="" textlink="">
      <xdr:nvSpPr>
        <xdr:cNvPr id="3" name="Plaque 2">
          <a:hlinkClick xmlns:r="http://schemas.openxmlformats.org/officeDocument/2006/relationships" r:id="rId1"/>
        </xdr:cNvPr>
        <xdr:cNvSpPr/>
      </xdr:nvSpPr>
      <xdr:spPr>
        <a:xfrm>
          <a:off x="333373" y="1276350"/>
          <a:ext cx="819151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333373</xdr:colOff>
      <xdr:row>3</xdr:row>
      <xdr:rowOff>38099</xdr:rowOff>
    </xdr:from>
    <xdr:to>
      <xdr:col>3</xdr:col>
      <xdr:colOff>285750</xdr:colOff>
      <xdr:row>3</xdr:row>
      <xdr:rowOff>304800</xdr:rowOff>
    </xdr:to>
    <xdr:sp macro="[0]!EffacerPaturage" textlink="">
      <xdr:nvSpPr>
        <xdr:cNvPr id="4" name="Plaque 3"/>
        <xdr:cNvSpPr/>
      </xdr:nvSpPr>
      <xdr:spPr>
        <a:xfrm>
          <a:off x="1523998" y="1781174"/>
          <a:ext cx="838202" cy="266701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13</xdr:col>
      <xdr:colOff>378402</xdr:colOff>
      <xdr:row>3</xdr:row>
      <xdr:rowOff>55418</xdr:rowOff>
    </xdr:from>
    <xdr:to>
      <xdr:col>14</xdr:col>
      <xdr:colOff>187901</xdr:colOff>
      <xdr:row>3</xdr:row>
      <xdr:rowOff>322118</xdr:rowOff>
    </xdr:to>
    <xdr:sp macro="[0]!message6" textlink="">
      <xdr:nvSpPr>
        <xdr:cNvPr id="6" name="Ellipse 5"/>
        <xdr:cNvSpPr/>
      </xdr:nvSpPr>
      <xdr:spPr>
        <a:xfrm>
          <a:off x="6924675" y="1406236"/>
          <a:ext cx="268431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11</xdr:col>
      <xdr:colOff>9525</xdr:colOff>
      <xdr:row>0</xdr:row>
      <xdr:rowOff>190500</xdr:rowOff>
    </xdr:from>
    <xdr:to>
      <xdr:col>14</xdr:col>
      <xdr:colOff>240308</xdr:colOff>
      <xdr:row>1</xdr:row>
      <xdr:rowOff>333375</xdr:rowOff>
    </xdr:to>
    <xdr:pic>
      <xdr:nvPicPr>
        <xdr:cNvPr id="7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67425" y="190500"/>
          <a:ext cx="1580485" cy="89535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6</xdr:col>
      <xdr:colOff>596959</xdr:colOff>
      <xdr:row>8</xdr:row>
      <xdr:rowOff>77239</xdr:rowOff>
    </xdr:from>
    <xdr:to>
      <xdr:col>7</xdr:col>
      <xdr:colOff>80010</xdr:colOff>
      <xdr:row>10</xdr:row>
      <xdr:rowOff>306705</xdr:rowOff>
    </xdr:to>
    <xdr:sp macro="" textlink="">
      <xdr:nvSpPr>
        <xdr:cNvPr id="10" name="Accolade ouvrante 9"/>
        <xdr:cNvSpPr/>
      </xdr:nvSpPr>
      <xdr:spPr>
        <a:xfrm>
          <a:off x="4231699" y="3094759"/>
          <a:ext cx="206951" cy="816206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8</xdr:row>
          <xdr:rowOff>47625</xdr:rowOff>
        </xdr:from>
        <xdr:to>
          <xdr:col>8</xdr:col>
          <xdr:colOff>190500</xdr:colOff>
          <xdr:row>8</xdr:row>
          <xdr:rowOff>228600</xdr:rowOff>
        </xdr:to>
        <xdr:sp macro="" textlink="">
          <xdr:nvSpPr>
            <xdr:cNvPr id="17410" name="Option Button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Moyenne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8</xdr:row>
          <xdr:rowOff>323850</xdr:rowOff>
        </xdr:from>
        <xdr:to>
          <xdr:col>8</xdr:col>
          <xdr:colOff>104775</xdr:colOff>
          <xdr:row>10</xdr:row>
          <xdr:rowOff>0</xdr:rowOff>
        </xdr:to>
        <xdr:sp macro="" textlink="">
          <xdr:nvSpPr>
            <xdr:cNvPr id="17411" name="Option Button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Bonne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10</xdr:row>
          <xdr:rowOff>95250</xdr:rowOff>
        </xdr:from>
        <xdr:to>
          <xdr:col>9</xdr:col>
          <xdr:colOff>38100</xdr:colOff>
          <xdr:row>10</xdr:row>
          <xdr:rowOff>276225</xdr:rowOff>
        </xdr:to>
        <xdr:sp macro="" textlink="">
          <xdr:nvSpPr>
            <xdr:cNvPr id="17412" name="Option Button 4" hidden="1">
              <a:extLst>
                <a:ext uri="{63B3BB69-23CF-44E3-9099-C40C66FF867C}">
                  <a14:compatExt spid="_x0000_s17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Très bonne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323850</xdr:colOff>
          <xdr:row>6</xdr:row>
          <xdr:rowOff>0</xdr:rowOff>
        </xdr:from>
        <xdr:to>
          <xdr:col>11</xdr:col>
          <xdr:colOff>590550</xdr:colOff>
          <xdr:row>7</xdr:row>
          <xdr:rowOff>0</xdr:rowOff>
        </xdr:to>
        <xdr:sp macro="" textlink="">
          <xdr:nvSpPr>
            <xdr:cNvPr id="17417" name="Spinner 9" hidden="1">
              <a:extLst>
                <a:ext uri="{63B3BB69-23CF-44E3-9099-C40C66FF867C}">
                  <a14:compatExt spid="_x0000_s17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428625</xdr:colOff>
          <xdr:row>11</xdr:row>
          <xdr:rowOff>114300</xdr:rowOff>
        </xdr:from>
        <xdr:to>
          <xdr:col>9</xdr:col>
          <xdr:colOff>190500</xdr:colOff>
          <xdr:row>13</xdr:row>
          <xdr:rowOff>38100</xdr:rowOff>
        </xdr:to>
        <xdr:sp macro="" textlink="">
          <xdr:nvSpPr>
            <xdr:cNvPr id="17426" name="List Box 18" hidden="1">
              <a:extLst>
                <a:ext uri="{63B3BB69-23CF-44E3-9099-C40C66FF867C}">
                  <a14:compatExt spid="_x0000_s17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5</xdr:col>
      <xdr:colOff>38100</xdr:colOff>
      <xdr:row>7</xdr:row>
      <xdr:rowOff>207645</xdr:rowOff>
    </xdr:from>
    <xdr:to>
      <xdr:col>5</xdr:col>
      <xdr:colOff>478155</xdr:colOff>
      <xdr:row>9</xdr:row>
      <xdr:rowOff>80656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0860" y="2973705"/>
          <a:ext cx="440055" cy="490231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5</xdr:row>
      <xdr:rowOff>219075</xdr:rowOff>
    </xdr:from>
    <xdr:to>
      <xdr:col>2</xdr:col>
      <xdr:colOff>19050</xdr:colOff>
      <xdr:row>6</xdr:row>
      <xdr:rowOff>9525</xdr:rowOff>
    </xdr:to>
    <xdr:cxnSp macro="">
      <xdr:nvCxnSpPr>
        <xdr:cNvPr id="13" name="Connecteur droit avec flèche 12"/>
        <xdr:cNvCxnSpPr/>
      </xdr:nvCxnSpPr>
      <xdr:spPr>
        <a:xfrm>
          <a:off x="1209675" y="2114550"/>
          <a:ext cx="0" cy="276225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419100</xdr:colOff>
      <xdr:row>5</xdr:row>
      <xdr:rowOff>28575</xdr:rowOff>
    </xdr:from>
    <xdr:to>
      <xdr:col>1</xdr:col>
      <xdr:colOff>857250</xdr:colOff>
      <xdr:row>6</xdr:row>
      <xdr:rowOff>29221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1924050"/>
          <a:ext cx="438150" cy="486421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5</xdr:row>
      <xdr:rowOff>190500</xdr:rowOff>
    </xdr:from>
    <xdr:to>
      <xdr:col>6</xdr:col>
      <xdr:colOff>152400</xdr:colOff>
      <xdr:row>5</xdr:row>
      <xdr:rowOff>466725</xdr:rowOff>
    </xdr:to>
    <xdr:cxnSp macro="">
      <xdr:nvCxnSpPr>
        <xdr:cNvPr id="15" name="Connecteur droit avec flèche 14"/>
        <xdr:cNvCxnSpPr/>
      </xdr:nvCxnSpPr>
      <xdr:spPr>
        <a:xfrm>
          <a:off x="3790950" y="2085975"/>
          <a:ext cx="0" cy="276225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7</xdr:row>
      <xdr:rowOff>19050</xdr:rowOff>
    </xdr:from>
    <xdr:to>
      <xdr:col>2</xdr:col>
      <xdr:colOff>28575</xdr:colOff>
      <xdr:row>8</xdr:row>
      <xdr:rowOff>47625</xdr:rowOff>
    </xdr:to>
    <xdr:cxnSp macro="">
      <xdr:nvCxnSpPr>
        <xdr:cNvPr id="22" name="Connecteur droit avec flèche 21"/>
        <xdr:cNvCxnSpPr/>
      </xdr:nvCxnSpPr>
      <xdr:spPr>
        <a:xfrm>
          <a:off x="1219200" y="2781300"/>
          <a:ext cx="0" cy="276225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9</xdr:row>
      <xdr:rowOff>152400</xdr:rowOff>
    </xdr:from>
    <xdr:to>
      <xdr:col>5</xdr:col>
      <xdr:colOff>95250</xdr:colOff>
      <xdr:row>10</xdr:row>
      <xdr:rowOff>209550</xdr:rowOff>
    </xdr:to>
    <xdr:cxnSp macro="">
      <xdr:nvCxnSpPr>
        <xdr:cNvPr id="23" name="Connecteur droit avec flèche 22"/>
        <xdr:cNvCxnSpPr/>
      </xdr:nvCxnSpPr>
      <xdr:spPr>
        <a:xfrm>
          <a:off x="3133725" y="3524250"/>
          <a:ext cx="0" cy="276225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428626</xdr:colOff>
      <xdr:row>5</xdr:row>
      <xdr:rowOff>54467</xdr:rowOff>
    </xdr:from>
    <xdr:to>
      <xdr:col>12</xdr:col>
      <xdr:colOff>274321</xdr:colOff>
      <xdr:row>5</xdr:row>
      <xdr:rowOff>476250</xdr:rowOff>
    </xdr:to>
    <xdr:pic>
      <xdr:nvPicPr>
        <xdr:cNvPr id="24" name="Image 2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519" b="6382"/>
        <a:stretch/>
      </xdr:blipFill>
      <xdr:spPr>
        <a:xfrm>
          <a:off x="6400801" y="1949942"/>
          <a:ext cx="457200" cy="42178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314325</xdr:colOff>
          <xdr:row>5</xdr:row>
          <xdr:rowOff>476250</xdr:rowOff>
        </xdr:from>
        <xdr:to>
          <xdr:col>6</xdr:col>
          <xdr:colOff>571500</xdr:colOff>
          <xdr:row>7</xdr:row>
          <xdr:rowOff>0</xdr:rowOff>
        </xdr:to>
        <xdr:sp macro="" textlink="">
          <xdr:nvSpPr>
            <xdr:cNvPr id="17430" name="Spinner 22" hidden="1">
              <a:extLst>
                <a:ext uri="{63B3BB69-23CF-44E3-9099-C40C66FF867C}">
                  <a14:compatExt spid="_x0000_s17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114300</xdr:colOff>
      <xdr:row>5</xdr:row>
      <xdr:rowOff>190500</xdr:rowOff>
    </xdr:from>
    <xdr:to>
      <xdr:col>11</xdr:col>
      <xdr:colOff>114300</xdr:colOff>
      <xdr:row>5</xdr:row>
      <xdr:rowOff>466725</xdr:rowOff>
    </xdr:to>
    <xdr:cxnSp macro="">
      <xdr:nvCxnSpPr>
        <xdr:cNvPr id="25" name="Connecteur droit avec flèche 24"/>
        <xdr:cNvCxnSpPr/>
      </xdr:nvCxnSpPr>
      <xdr:spPr>
        <a:xfrm>
          <a:off x="6086475" y="2085975"/>
          <a:ext cx="0" cy="276225"/>
        </a:xfrm>
        <a:prstGeom prst="straightConnector1">
          <a:avLst/>
        </a:prstGeom>
        <a:ln w="38100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104773</xdr:colOff>
      <xdr:row>3</xdr:row>
      <xdr:rowOff>38100</xdr:rowOff>
    </xdr:from>
    <xdr:to>
      <xdr:col>2</xdr:col>
      <xdr:colOff>678180</xdr:colOff>
      <xdr:row>3</xdr:row>
      <xdr:rowOff>295276</xdr:rowOff>
    </xdr:to>
    <xdr:sp macro="" textlink="">
      <xdr:nvSpPr>
        <xdr:cNvPr id="2" name="Plaque 1">
          <a:hlinkClick xmlns:r="http://schemas.openxmlformats.org/officeDocument/2006/relationships" r:id="rId1"/>
        </xdr:cNvPr>
        <xdr:cNvSpPr/>
      </xdr:nvSpPr>
      <xdr:spPr>
        <a:xfrm>
          <a:off x="340993" y="1508760"/>
          <a:ext cx="809627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</xdr:col>
      <xdr:colOff>68679</xdr:colOff>
      <xdr:row>12</xdr:row>
      <xdr:rowOff>144780</xdr:rowOff>
    </xdr:from>
    <xdr:to>
      <xdr:col>2</xdr:col>
      <xdr:colOff>1012658</xdr:colOff>
      <xdr:row>13</xdr:row>
      <xdr:rowOff>45720</xdr:rowOff>
    </xdr:to>
    <xdr:sp macro="[0]!SaisieConcentre" textlink="">
      <xdr:nvSpPr>
        <xdr:cNvPr id="4" name="Plaque 3"/>
        <xdr:cNvSpPr/>
      </xdr:nvSpPr>
      <xdr:spPr>
        <a:xfrm>
          <a:off x="479758" y="4446069"/>
          <a:ext cx="943979" cy="261888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13</xdr:col>
      <xdr:colOff>465667</xdr:colOff>
      <xdr:row>3</xdr:row>
      <xdr:rowOff>38099</xdr:rowOff>
    </xdr:from>
    <xdr:to>
      <xdr:col>14</xdr:col>
      <xdr:colOff>161925</xdr:colOff>
      <xdr:row>3</xdr:row>
      <xdr:rowOff>321732</xdr:rowOff>
    </xdr:to>
    <xdr:sp macro="[0]!message9" textlink="">
      <xdr:nvSpPr>
        <xdr:cNvPr id="5" name="Ellipse 4"/>
        <xdr:cNvSpPr/>
      </xdr:nvSpPr>
      <xdr:spPr>
        <a:xfrm>
          <a:off x="8847667" y="1511299"/>
          <a:ext cx="288925" cy="283633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12</xdr:col>
      <xdr:colOff>308611</xdr:colOff>
      <xdr:row>0</xdr:row>
      <xdr:rowOff>68580</xdr:rowOff>
    </xdr:from>
    <xdr:to>
      <xdr:col>15</xdr:col>
      <xdr:colOff>1907</xdr:colOff>
      <xdr:row>0</xdr:row>
      <xdr:rowOff>670560</xdr:rowOff>
    </xdr:to>
    <xdr:pic>
      <xdr:nvPicPr>
        <xdr:cNvPr id="6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578091" y="68580"/>
          <a:ext cx="1101090" cy="601980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4</xdr:col>
      <xdr:colOff>43815</xdr:colOff>
      <xdr:row>9</xdr:row>
      <xdr:rowOff>213360</xdr:rowOff>
    </xdr:from>
    <xdr:to>
      <xdr:col>4</xdr:col>
      <xdr:colOff>45720</xdr:colOff>
      <xdr:row>10</xdr:row>
      <xdr:rowOff>256065</xdr:rowOff>
    </xdr:to>
    <xdr:cxnSp macro="">
      <xdr:nvCxnSpPr>
        <xdr:cNvPr id="7" name="Connecteur droit avec flèche 6"/>
        <xdr:cNvCxnSpPr/>
      </xdr:nvCxnSpPr>
      <xdr:spPr>
        <a:xfrm flipH="1">
          <a:off x="1689735" y="3535680"/>
          <a:ext cx="1905" cy="37798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20052</xdr:colOff>
      <xdr:row>12</xdr:row>
      <xdr:rowOff>270713</xdr:rowOff>
    </xdr:from>
    <xdr:to>
      <xdr:col>5</xdr:col>
      <xdr:colOff>210551</xdr:colOff>
      <xdr:row>13</xdr:row>
      <xdr:rowOff>220579</xdr:rowOff>
    </xdr:to>
    <xdr:cxnSp macro="">
      <xdr:nvCxnSpPr>
        <xdr:cNvPr id="14" name="Connecteur droit avec flèche 13"/>
        <xdr:cNvCxnSpPr/>
      </xdr:nvCxnSpPr>
      <xdr:spPr>
        <a:xfrm>
          <a:off x="4070684" y="4692318"/>
          <a:ext cx="190499" cy="310814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43816</xdr:colOff>
      <xdr:row>12</xdr:row>
      <xdr:rowOff>22860</xdr:rowOff>
    </xdr:from>
    <xdr:to>
      <xdr:col>4</xdr:col>
      <xdr:colOff>45720</xdr:colOff>
      <xdr:row>12</xdr:row>
      <xdr:rowOff>400845</xdr:rowOff>
    </xdr:to>
    <xdr:cxnSp macro="">
      <xdr:nvCxnSpPr>
        <xdr:cNvPr id="22" name="Connecteur droit avec flèche 21"/>
        <xdr:cNvCxnSpPr/>
      </xdr:nvCxnSpPr>
      <xdr:spPr>
        <a:xfrm flipH="1">
          <a:off x="1689736" y="4183380"/>
          <a:ext cx="1904" cy="37798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40105</xdr:colOff>
      <xdr:row>10</xdr:row>
      <xdr:rowOff>250658</xdr:rowOff>
    </xdr:from>
    <xdr:to>
      <xdr:col>5</xdr:col>
      <xdr:colOff>210552</xdr:colOff>
      <xdr:row>11</xdr:row>
      <xdr:rowOff>240632</xdr:rowOff>
    </xdr:to>
    <xdr:cxnSp macro="">
      <xdr:nvCxnSpPr>
        <xdr:cNvPr id="26" name="Connecteur droit avec flèche 25"/>
        <xdr:cNvCxnSpPr/>
      </xdr:nvCxnSpPr>
      <xdr:spPr>
        <a:xfrm>
          <a:off x="4090737" y="3970421"/>
          <a:ext cx="170447" cy="36094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65772</xdr:colOff>
      <xdr:row>10</xdr:row>
      <xdr:rowOff>140369</xdr:rowOff>
    </xdr:from>
    <xdr:to>
      <xdr:col>2</xdr:col>
      <xdr:colOff>1012657</xdr:colOff>
      <xdr:row>11</xdr:row>
      <xdr:rowOff>50531</xdr:rowOff>
    </xdr:to>
    <xdr:sp macro="[0]!SaisieAliment" textlink="">
      <xdr:nvSpPr>
        <xdr:cNvPr id="30" name="Plaque 29"/>
        <xdr:cNvSpPr/>
      </xdr:nvSpPr>
      <xdr:spPr>
        <a:xfrm>
          <a:off x="476851" y="3739816"/>
          <a:ext cx="946885" cy="281136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2</xdr:col>
      <xdr:colOff>819149</xdr:colOff>
      <xdr:row>3</xdr:row>
      <xdr:rowOff>42333</xdr:rowOff>
    </xdr:from>
    <xdr:to>
      <xdr:col>4</xdr:col>
      <xdr:colOff>933449</xdr:colOff>
      <xdr:row>3</xdr:row>
      <xdr:rowOff>318558</xdr:rowOff>
    </xdr:to>
    <xdr:sp macro="[0]!ValFourr" textlink="">
      <xdr:nvSpPr>
        <xdr:cNvPr id="15" name="Plaque 14">
          <a:hlinkClick xmlns:r="http://schemas.openxmlformats.org/officeDocument/2006/relationships" r:id="rId3"/>
        </xdr:cNvPr>
        <xdr:cNvSpPr/>
      </xdr:nvSpPr>
      <xdr:spPr>
        <a:xfrm>
          <a:off x="1228724" y="1509183"/>
          <a:ext cx="1400175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900" b="1"/>
            <a:t>RETOUR FOURRAGE</a:t>
          </a:r>
        </a:p>
      </xdr:txBody>
    </xdr:sp>
    <xdr:clientData/>
  </xdr:twoCellAnchor>
  <xdr:twoCellAnchor>
    <xdr:from>
      <xdr:col>4</xdr:col>
      <xdr:colOff>1063618</xdr:colOff>
      <xdr:row>3</xdr:row>
      <xdr:rowOff>43392</xdr:rowOff>
    </xdr:from>
    <xdr:to>
      <xdr:col>5</xdr:col>
      <xdr:colOff>66675</xdr:colOff>
      <xdr:row>3</xdr:row>
      <xdr:rowOff>319617</xdr:rowOff>
    </xdr:to>
    <xdr:sp macro="[0]!ValFourr" textlink="">
      <xdr:nvSpPr>
        <xdr:cNvPr id="16" name="Plaque 15">
          <a:hlinkClick xmlns:r="http://schemas.openxmlformats.org/officeDocument/2006/relationships" r:id="rId4"/>
        </xdr:cNvPr>
        <xdr:cNvSpPr/>
      </xdr:nvSpPr>
      <xdr:spPr>
        <a:xfrm>
          <a:off x="2759068" y="1510242"/>
          <a:ext cx="1355732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900" b="1"/>
            <a:t>RETOUR CONCENTRE</a:t>
          </a:r>
        </a:p>
      </xdr:txBody>
    </xdr:sp>
    <xdr:clientData/>
  </xdr:twoCellAnchor>
  <xdr:twoCellAnchor>
    <xdr:from>
      <xdr:col>5</xdr:col>
      <xdr:colOff>192617</xdr:colOff>
      <xdr:row>3</xdr:row>
      <xdr:rowOff>42333</xdr:rowOff>
    </xdr:from>
    <xdr:to>
      <xdr:col>7</xdr:col>
      <xdr:colOff>533400</xdr:colOff>
      <xdr:row>3</xdr:row>
      <xdr:rowOff>318558</xdr:rowOff>
    </xdr:to>
    <xdr:sp macro="[0]!ValFourr" textlink="">
      <xdr:nvSpPr>
        <xdr:cNvPr id="17" name="Plaque 16">
          <a:hlinkClick xmlns:r="http://schemas.openxmlformats.org/officeDocument/2006/relationships" r:id="rId5"/>
        </xdr:cNvPr>
        <xdr:cNvSpPr/>
      </xdr:nvSpPr>
      <xdr:spPr>
        <a:xfrm>
          <a:off x="4240742" y="1509183"/>
          <a:ext cx="1150408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900" b="1"/>
            <a:t>RETOUR AGNEAU</a:t>
          </a:r>
        </a:p>
      </xdr:txBody>
    </xdr:sp>
    <xdr:clientData/>
  </xdr:twoCellAnchor>
  <xdr:twoCellAnchor>
    <xdr:from>
      <xdr:col>17</xdr:col>
      <xdr:colOff>400050</xdr:colOff>
      <xdr:row>15</xdr:row>
      <xdr:rowOff>136527</xdr:rowOff>
    </xdr:from>
    <xdr:to>
      <xdr:col>17</xdr:col>
      <xdr:colOff>1400175</xdr:colOff>
      <xdr:row>16</xdr:row>
      <xdr:rowOff>257175</xdr:rowOff>
    </xdr:to>
    <xdr:sp macro="[0]!SupprimFourr" textlink="">
      <xdr:nvSpPr>
        <xdr:cNvPr id="18" name="Plaque 17"/>
        <xdr:cNvSpPr/>
      </xdr:nvSpPr>
      <xdr:spPr>
        <a:xfrm>
          <a:off x="9686925" y="5603877"/>
          <a:ext cx="1000125" cy="282573"/>
        </a:xfrm>
        <a:prstGeom prst="bevel">
          <a:avLst/>
        </a:prstGeom>
        <a:gradFill>
          <a:gsLst>
            <a:gs pos="0">
              <a:srgbClr val="C00000"/>
            </a:gs>
            <a:gs pos="80000">
              <a:schemeClr val="accent2">
                <a:shade val="93000"/>
                <a:satMod val="130000"/>
              </a:schemeClr>
            </a:gs>
            <a:gs pos="100000">
              <a:schemeClr val="accent2">
                <a:shade val="94000"/>
                <a:satMod val="135000"/>
              </a:schemeClr>
            </a:gs>
          </a:gsLst>
        </a:gradFill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900" b="1"/>
            <a:t>SUPPRIMER</a:t>
          </a:r>
        </a:p>
      </xdr:txBody>
    </xdr:sp>
    <xdr:clientData/>
  </xdr:twoCellAnchor>
  <xdr:twoCellAnchor>
    <xdr:from>
      <xdr:col>19</xdr:col>
      <xdr:colOff>476250</xdr:colOff>
      <xdr:row>15</xdr:row>
      <xdr:rowOff>146052</xdr:rowOff>
    </xdr:from>
    <xdr:to>
      <xdr:col>19</xdr:col>
      <xdr:colOff>1476375</xdr:colOff>
      <xdr:row>16</xdr:row>
      <xdr:rowOff>276225</xdr:rowOff>
    </xdr:to>
    <xdr:sp macro="[0]!SupprimConc" textlink="">
      <xdr:nvSpPr>
        <xdr:cNvPr id="19" name="Plaque 18"/>
        <xdr:cNvSpPr/>
      </xdr:nvSpPr>
      <xdr:spPr>
        <a:xfrm>
          <a:off x="11801475" y="5613402"/>
          <a:ext cx="1000125" cy="292098"/>
        </a:xfrm>
        <a:prstGeom prst="bevel">
          <a:avLst/>
        </a:prstGeom>
        <a:gradFill>
          <a:gsLst>
            <a:gs pos="0">
              <a:srgbClr val="C00000"/>
            </a:gs>
            <a:gs pos="80000">
              <a:schemeClr val="accent2">
                <a:shade val="93000"/>
                <a:satMod val="130000"/>
              </a:schemeClr>
            </a:gs>
            <a:gs pos="100000">
              <a:schemeClr val="accent2">
                <a:shade val="94000"/>
                <a:satMod val="135000"/>
              </a:schemeClr>
            </a:gs>
          </a:gsLst>
        </a:gradFill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900" b="1"/>
            <a:t>SUPPRIMER</a:t>
          </a:r>
        </a:p>
      </xdr:txBody>
    </xdr:sp>
    <xdr:clientData/>
  </xdr:twoCellAnchor>
  <xdr:twoCellAnchor editAs="oneCell">
    <xdr:from>
      <xdr:col>1</xdr:col>
      <xdr:colOff>21166</xdr:colOff>
      <xdr:row>8</xdr:row>
      <xdr:rowOff>158750</xdr:rowOff>
    </xdr:from>
    <xdr:to>
      <xdr:col>2</xdr:col>
      <xdr:colOff>279399</xdr:colOff>
      <xdr:row>10</xdr:row>
      <xdr:rowOff>14628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3999" y="3238500"/>
          <a:ext cx="438150" cy="486421"/>
        </a:xfrm>
        <a:prstGeom prst="rect">
          <a:avLst/>
        </a:prstGeom>
      </xdr:spPr>
    </xdr:pic>
    <xdr:clientData/>
  </xdr:twoCellAnchor>
  <xdr:twoCellAnchor>
    <xdr:from>
      <xdr:col>17</xdr:col>
      <xdr:colOff>1719282</xdr:colOff>
      <xdr:row>12</xdr:row>
      <xdr:rowOff>313314</xdr:rowOff>
    </xdr:from>
    <xdr:to>
      <xdr:col>17</xdr:col>
      <xdr:colOff>1721187</xdr:colOff>
      <xdr:row>13</xdr:row>
      <xdr:rowOff>326861</xdr:rowOff>
    </xdr:to>
    <xdr:cxnSp macro="">
      <xdr:nvCxnSpPr>
        <xdr:cNvPr id="23" name="Connecteur droit avec flèche 22"/>
        <xdr:cNvCxnSpPr/>
      </xdr:nvCxnSpPr>
      <xdr:spPr>
        <a:xfrm flipH="1">
          <a:off x="11006157" y="4694814"/>
          <a:ext cx="1905" cy="375497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1796648</xdr:colOff>
      <xdr:row>12</xdr:row>
      <xdr:rowOff>304761</xdr:rowOff>
    </xdr:from>
    <xdr:to>
      <xdr:col>19</xdr:col>
      <xdr:colOff>1798553</xdr:colOff>
      <xdr:row>13</xdr:row>
      <xdr:rowOff>289149</xdr:rowOff>
    </xdr:to>
    <xdr:cxnSp macro="">
      <xdr:nvCxnSpPr>
        <xdr:cNvPr id="24" name="Connecteur droit avec flèche 23"/>
        <xdr:cNvCxnSpPr/>
      </xdr:nvCxnSpPr>
      <xdr:spPr>
        <a:xfrm flipH="1">
          <a:off x="13121873" y="4686261"/>
          <a:ext cx="1905" cy="346338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180974</xdr:colOff>
      <xdr:row>16</xdr:row>
      <xdr:rowOff>19050</xdr:rowOff>
    </xdr:from>
    <xdr:to>
      <xdr:col>7</xdr:col>
      <xdr:colOff>257174</xdr:colOff>
      <xdr:row>16</xdr:row>
      <xdr:rowOff>276226</xdr:rowOff>
    </xdr:to>
    <xdr:sp macro="" textlink="">
      <xdr:nvSpPr>
        <xdr:cNvPr id="29" name="Plaque 28">
          <a:hlinkClick xmlns:r="http://schemas.openxmlformats.org/officeDocument/2006/relationships" r:id="rId7"/>
        </xdr:cNvPr>
        <xdr:cNvSpPr/>
      </xdr:nvSpPr>
      <xdr:spPr>
        <a:xfrm>
          <a:off x="4229099" y="5648325"/>
          <a:ext cx="885825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PREVISION</a:t>
          </a:r>
        </a:p>
      </xdr:txBody>
    </xdr:sp>
    <xdr:clientData/>
  </xdr:twoCellAnchor>
  <xdr:twoCellAnchor>
    <xdr:from>
      <xdr:col>4</xdr:col>
      <xdr:colOff>2057401</xdr:colOff>
      <xdr:row>16</xdr:row>
      <xdr:rowOff>190500</xdr:rowOff>
    </xdr:from>
    <xdr:to>
      <xdr:col>5</xdr:col>
      <xdr:colOff>66675</xdr:colOff>
      <xdr:row>16</xdr:row>
      <xdr:rowOff>200025</xdr:rowOff>
    </xdr:to>
    <xdr:cxnSp macro="">
      <xdr:nvCxnSpPr>
        <xdr:cNvPr id="32" name="Connecteur droit avec flèche 31"/>
        <xdr:cNvCxnSpPr/>
      </xdr:nvCxnSpPr>
      <xdr:spPr>
        <a:xfrm>
          <a:off x="3752851" y="5819775"/>
          <a:ext cx="361949" cy="952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70796</xdr:colOff>
      <xdr:row>14</xdr:row>
      <xdr:rowOff>18381</xdr:rowOff>
    </xdr:from>
    <xdr:to>
      <xdr:col>6</xdr:col>
      <xdr:colOff>508389</xdr:colOff>
      <xdr:row>15</xdr:row>
      <xdr:rowOff>157223</xdr:rowOff>
    </xdr:to>
    <xdr:pic>
      <xdr:nvPicPr>
        <xdr:cNvPr id="33" name="Image 3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52033" y="5131802"/>
          <a:ext cx="437593" cy="479737"/>
        </a:xfrm>
        <a:prstGeom prst="rect">
          <a:avLst/>
        </a:prstGeom>
      </xdr:spPr>
    </xdr:pic>
    <xdr:clientData/>
  </xdr:twoCellAnchor>
  <xdr:twoCellAnchor editAs="oneCell">
    <xdr:from>
      <xdr:col>1</xdr:col>
      <xdr:colOff>78316</xdr:colOff>
      <xdr:row>14</xdr:row>
      <xdr:rowOff>358775</xdr:rowOff>
    </xdr:from>
    <xdr:to>
      <xdr:col>2</xdr:col>
      <xdr:colOff>334433</xdr:colOff>
      <xdr:row>16</xdr:row>
      <xdr:rowOff>318146</xdr:rowOff>
    </xdr:to>
    <xdr:pic>
      <xdr:nvPicPr>
        <xdr:cNvPr id="34" name="Image 3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6916" y="5435600"/>
          <a:ext cx="437092" cy="4832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9</xdr:row>
          <xdr:rowOff>0</xdr:rowOff>
        </xdr:from>
        <xdr:to>
          <xdr:col>16</xdr:col>
          <xdr:colOff>161925</xdr:colOff>
          <xdr:row>9</xdr:row>
          <xdr:rowOff>314325</xdr:rowOff>
        </xdr:to>
        <xdr:sp macro="" textlink="">
          <xdr:nvSpPr>
            <xdr:cNvPr id="33793" name="Spinner 1" hidden="1">
              <a:extLst>
                <a:ext uri="{63B3BB69-23CF-44E3-9099-C40C66FF867C}">
                  <a14:compatExt spid="_x0000_s33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11</xdr:row>
          <xdr:rowOff>0</xdr:rowOff>
        </xdr:from>
        <xdr:to>
          <xdr:col>16</xdr:col>
          <xdr:colOff>161925</xdr:colOff>
          <xdr:row>11</xdr:row>
          <xdr:rowOff>314325</xdr:rowOff>
        </xdr:to>
        <xdr:sp macro="" textlink="">
          <xdr:nvSpPr>
            <xdr:cNvPr id="33794" name="Spinner 2" hidden="1">
              <a:extLst>
                <a:ext uri="{63B3BB69-23CF-44E3-9099-C40C66FF867C}">
                  <a14:compatExt spid="_x0000_s33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13</xdr:row>
          <xdr:rowOff>0</xdr:rowOff>
        </xdr:from>
        <xdr:to>
          <xdr:col>16</xdr:col>
          <xdr:colOff>161925</xdr:colOff>
          <xdr:row>13</xdr:row>
          <xdr:rowOff>314325</xdr:rowOff>
        </xdr:to>
        <xdr:sp macro="" textlink="">
          <xdr:nvSpPr>
            <xdr:cNvPr id="33795" name="Spinner 3" hidden="1">
              <a:extLst>
                <a:ext uri="{63B3BB69-23CF-44E3-9099-C40C66FF867C}">
                  <a14:compatExt spid="_x0000_s33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15</xdr:row>
          <xdr:rowOff>0</xdr:rowOff>
        </xdr:from>
        <xdr:to>
          <xdr:col>16</xdr:col>
          <xdr:colOff>161925</xdr:colOff>
          <xdr:row>15</xdr:row>
          <xdr:rowOff>314325</xdr:rowOff>
        </xdr:to>
        <xdr:sp macro="" textlink="">
          <xdr:nvSpPr>
            <xdr:cNvPr id="33796" name="Spinner 4" hidden="1">
              <a:extLst>
                <a:ext uri="{63B3BB69-23CF-44E3-9099-C40C66FF867C}">
                  <a14:compatExt spid="_x0000_s33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17</xdr:row>
          <xdr:rowOff>0</xdr:rowOff>
        </xdr:from>
        <xdr:to>
          <xdr:col>16</xdr:col>
          <xdr:colOff>161925</xdr:colOff>
          <xdr:row>17</xdr:row>
          <xdr:rowOff>314325</xdr:rowOff>
        </xdr:to>
        <xdr:sp macro="" textlink="">
          <xdr:nvSpPr>
            <xdr:cNvPr id="33797" name="Spinner 5" hidden="1">
              <a:extLst>
                <a:ext uri="{63B3BB69-23CF-44E3-9099-C40C66FF867C}">
                  <a14:compatExt spid="_x0000_s33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9</xdr:row>
          <xdr:rowOff>0</xdr:rowOff>
        </xdr:from>
        <xdr:to>
          <xdr:col>18</xdr:col>
          <xdr:colOff>171450</xdr:colOff>
          <xdr:row>10</xdr:row>
          <xdr:rowOff>0</xdr:rowOff>
        </xdr:to>
        <xdr:sp macro="" textlink="">
          <xdr:nvSpPr>
            <xdr:cNvPr id="33798" name="Spinner 6" hidden="1">
              <a:extLst>
                <a:ext uri="{63B3BB69-23CF-44E3-9099-C40C66FF867C}">
                  <a14:compatExt spid="_x0000_s337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11</xdr:row>
          <xdr:rowOff>0</xdr:rowOff>
        </xdr:from>
        <xdr:to>
          <xdr:col>18</xdr:col>
          <xdr:colOff>171450</xdr:colOff>
          <xdr:row>12</xdr:row>
          <xdr:rowOff>0</xdr:rowOff>
        </xdr:to>
        <xdr:sp macro="" textlink="">
          <xdr:nvSpPr>
            <xdr:cNvPr id="33799" name="Spinner 7" hidden="1">
              <a:extLst>
                <a:ext uri="{63B3BB69-23CF-44E3-9099-C40C66FF867C}">
                  <a14:compatExt spid="_x0000_s33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13</xdr:row>
          <xdr:rowOff>0</xdr:rowOff>
        </xdr:from>
        <xdr:to>
          <xdr:col>18</xdr:col>
          <xdr:colOff>171450</xdr:colOff>
          <xdr:row>14</xdr:row>
          <xdr:rowOff>0</xdr:rowOff>
        </xdr:to>
        <xdr:sp macro="" textlink="">
          <xdr:nvSpPr>
            <xdr:cNvPr id="33800" name="Spinner 8" hidden="1">
              <a:extLst>
                <a:ext uri="{63B3BB69-23CF-44E3-9099-C40C66FF867C}">
                  <a14:compatExt spid="_x0000_s338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15</xdr:row>
          <xdr:rowOff>0</xdr:rowOff>
        </xdr:from>
        <xdr:to>
          <xdr:col>18</xdr:col>
          <xdr:colOff>171450</xdr:colOff>
          <xdr:row>16</xdr:row>
          <xdr:rowOff>0</xdr:rowOff>
        </xdr:to>
        <xdr:sp macro="" textlink="">
          <xdr:nvSpPr>
            <xdr:cNvPr id="33801" name="Spinner 9" hidden="1">
              <a:extLst>
                <a:ext uri="{63B3BB69-23CF-44E3-9099-C40C66FF867C}">
                  <a14:compatExt spid="_x0000_s33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17</xdr:row>
          <xdr:rowOff>0</xdr:rowOff>
        </xdr:from>
        <xdr:to>
          <xdr:col>18</xdr:col>
          <xdr:colOff>171450</xdr:colOff>
          <xdr:row>18</xdr:row>
          <xdr:rowOff>0</xdr:rowOff>
        </xdr:to>
        <xdr:sp macro="" textlink="">
          <xdr:nvSpPr>
            <xdr:cNvPr id="33802" name="Spinner 10" hidden="1">
              <a:extLst>
                <a:ext uri="{63B3BB69-23CF-44E3-9099-C40C66FF867C}">
                  <a14:compatExt spid="_x0000_s33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21</xdr:row>
          <xdr:rowOff>0</xdr:rowOff>
        </xdr:from>
        <xdr:to>
          <xdr:col>16</xdr:col>
          <xdr:colOff>161925</xdr:colOff>
          <xdr:row>21</xdr:row>
          <xdr:rowOff>314325</xdr:rowOff>
        </xdr:to>
        <xdr:sp macro="" textlink="">
          <xdr:nvSpPr>
            <xdr:cNvPr id="33803" name="Spinner 11" hidden="1">
              <a:extLst>
                <a:ext uri="{63B3BB69-23CF-44E3-9099-C40C66FF867C}">
                  <a14:compatExt spid="_x0000_s33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23</xdr:row>
          <xdr:rowOff>0</xdr:rowOff>
        </xdr:from>
        <xdr:to>
          <xdr:col>16</xdr:col>
          <xdr:colOff>161925</xdr:colOff>
          <xdr:row>23</xdr:row>
          <xdr:rowOff>314325</xdr:rowOff>
        </xdr:to>
        <xdr:sp macro="" textlink="">
          <xdr:nvSpPr>
            <xdr:cNvPr id="33804" name="Spinner 12" hidden="1">
              <a:extLst>
                <a:ext uri="{63B3BB69-23CF-44E3-9099-C40C66FF867C}">
                  <a14:compatExt spid="_x0000_s338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25</xdr:row>
          <xdr:rowOff>0</xdr:rowOff>
        </xdr:from>
        <xdr:to>
          <xdr:col>16</xdr:col>
          <xdr:colOff>161925</xdr:colOff>
          <xdr:row>25</xdr:row>
          <xdr:rowOff>314325</xdr:rowOff>
        </xdr:to>
        <xdr:sp macro="" textlink="">
          <xdr:nvSpPr>
            <xdr:cNvPr id="33805" name="Spinner 13" hidden="1">
              <a:extLst>
                <a:ext uri="{63B3BB69-23CF-44E3-9099-C40C66FF867C}">
                  <a14:compatExt spid="_x0000_s338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27</xdr:row>
          <xdr:rowOff>0</xdr:rowOff>
        </xdr:from>
        <xdr:to>
          <xdr:col>16</xdr:col>
          <xdr:colOff>161925</xdr:colOff>
          <xdr:row>27</xdr:row>
          <xdr:rowOff>314325</xdr:rowOff>
        </xdr:to>
        <xdr:sp macro="" textlink="">
          <xdr:nvSpPr>
            <xdr:cNvPr id="33806" name="Spinner 14" hidden="1">
              <a:extLst>
                <a:ext uri="{63B3BB69-23CF-44E3-9099-C40C66FF867C}">
                  <a14:compatExt spid="_x0000_s338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29</xdr:row>
          <xdr:rowOff>0</xdr:rowOff>
        </xdr:from>
        <xdr:to>
          <xdr:col>16</xdr:col>
          <xdr:colOff>161925</xdr:colOff>
          <xdr:row>29</xdr:row>
          <xdr:rowOff>314325</xdr:rowOff>
        </xdr:to>
        <xdr:sp macro="" textlink="">
          <xdr:nvSpPr>
            <xdr:cNvPr id="33807" name="Spinner 15" hidden="1">
              <a:extLst>
                <a:ext uri="{63B3BB69-23CF-44E3-9099-C40C66FF867C}">
                  <a14:compatExt spid="_x0000_s338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31</xdr:row>
          <xdr:rowOff>0</xdr:rowOff>
        </xdr:from>
        <xdr:to>
          <xdr:col>16</xdr:col>
          <xdr:colOff>161925</xdr:colOff>
          <xdr:row>31</xdr:row>
          <xdr:rowOff>314325</xdr:rowOff>
        </xdr:to>
        <xdr:sp macro="" textlink="">
          <xdr:nvSpPr>
            <xdr:cNvPr id="33808" name="Spinner 16" hidden="1">
              <a:extLst>
                <a:ext uri="{63B3BB69-23CF-44E3-9099-C40C66FF867C}">
                  <a14:compatExt spid="_x0000_s338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23</xdr:row>
          <xdr:rowOff>0</xdr:rowOff>
        </xdr:from>
        <xdr:to>
          <xdr:col>16</xdr:col>
          <xdr:colOff>161925</xdr:colOff>
          <xdr:row>23</xdr:row>
          <xdr:rowOff>314325</xdr:rowOff>
        </xdr:to>
        <xdr:sp macro="" textlink="">
          <xdr:nvSpPr>
            <xdr:cNvPr id="33809" name="Spinner 17" hidden="1">
              <a:extLst>
                <a:ext uri="{63B3BB69-23CF-44E3-9099-C40C66FF867C}">
                  <a14:compatExt spid="_x0000_s338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25</xdr:row>
          <xdr:rowOff>0</xdr:rowOff>
        </xdr:from>
        <xdr:to>
          <xdr:col>16</xdr:col>
          <xdr:colOff>161925</xdr:colOff>
          <xdr:row>25</xdr:row>
          <xdr:rowOff>314325</xdr:rowOff>
        </xdr:to>
        <xdr:sp macro="" textlink="">
          <xdr:nvSpPr>
            <xdr:cNvPr id="33810" name="Spinner 18" hidden="1">
              <a:extLst>
                <a:ext uri="{63B3BB69-23CF-44E3-9099-C40C66FF867C}">
                  <a14:compatExt spid="_x0000_s338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27</xdr:row>
          <xdr:rowOff>0</xdr:rowOff>
        </xdr:from>
        <xdr:to>
          <xdr:col>16</xdr:col>
          <xdr:colOff>161925</xdr:colOff>
          <xdr:row>27</xdr:row>
          <xdr:rowOff>314325</xdr:rowOff>
        </xdr:to>
        <xdr:sp macro="" textlink="">
          <xdr:nvSpPr>
            <xdr:cNvPr id="33811" name="Spinner 19" hidden="1">
              <a:extLst>
                <a:ext uri="{63B3BB69-23CF-44E3-9099-C40C66FF867C}">
                  <a14:compatExt spid="_x0000_s338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29</xdr:row>
          <xdr:rowOff>0</xdr:rowOff>
        </xdr:from>
        <xdr:to>
          <xdr:col>16</xdr:col>
          <xdr:colOff>161925</xdr:colOff>
          <xdr:row>29</xdr:row>
          <xdr:rowOff>314325</xdr:rowOff>
        </xdr:to>
        <xdr:sp macro="" textlink="">
          <xdr:nvSpPr>
            <xdr:cNvPr id="33812" name="Spinner 20" hidden="1">
              <a:extLst>
                <a:ext uri="{63B3BB69-23CF-44E3-9099-C40C66FF867C}">
                  <a14:compatExt spid="_x0000_s338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31</xdr:row>
          <xdr:rowOff>0</xdr:rowOff>
        </xdr:from>
        <xdr:to>
          <xdr:col>16</xdr:col>
          <xdr:colOff>161925</xdr:colOff>
          <xdr:row>31</xdr:row>
          <xdr:rowOff>314325</xdr:rowOff>
        </xdr:to>
        <xdr:sp macro="" textlink="">
          <xdr:nvSpPr>
            <xdr:cNvPr id="33813" name="Spinner 21" hidden="1">
              <a:extLst>
                <a:ext uri="{63B3BB69-23CF-44E3-9099-C40C66FF867C}">
                  <a14:compatExt spid="_x0000_s338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21</xdr:row>
          <xdr:rowOff>0</xdr:rowOff>
        </xdr:from>
        <xdr:to>
          <xdr:col>18</xdr:col>
          <xdr:colOff>171450</xdr:colOff>
          <xdr:row>22</xdr:row>
          <xdr:rowOff>0</xdr:rowOff>
        </xdr:to>
        <xdr:sp macro="" textlink="">
          <xdr:nvSpPr>
            <xdr:cNvPr id="33814" name="Spinner 22" hidden="1">
              <a:extLst>
                <a:ext uri="{63B3BB69-23CF-44E3-9099-C40C66FF867C}">
                  <a14:compatExt spid="_x0000_s338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23</xdr:row>
          <xdr:rowOff>0</xdr:rowOff>
        </xdr:from>
        <xdr:to>
          <xdr:col>18</xdr:col>
          <xdr:colOff>171450</xdr:colOff>
          <xdr:row>24</xdr:row>
          <xdr:rowOff>0</xdr:rowOff>
        </xdr:to>
        <xdr:sp macro="" textlink="">
          <xdr:nvSpPr>
            <xdr:cNvPr id="33815" name="Spinner 23" hidden="1">
              <a:extLst>
                <a:ext uri="{63B3BB69-23CF-44E3-9099-C40C66FF867C}">
                  <a14:compatExt spid="_x0000_s338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25</xdr:row>
          <xdr:rowOff>0</xdr:rowOff>
        </xdr:from>
        <xdr:to>
          <xdr:col>18</xdr:col>
          <xdr:colOff>171450</xdr:colOff>
          <xdr:row>26</xdr:row>
          <xdr:rowOff>0</xdr:rowOff>
        </xdr:to>
        <xdr:sp macro="" textlink="">
          <xdr:nvSpPr>
            <xdr:cNvPr id="33816" name="Spinner 24" hidden="1">
              <a:extLst>
                <a:ext uri="{63B3BB69-23CF-44E3-9099-C40C66FF867C}">
                  <a14:compatExt spid="_x0000_s338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27</xdr:row>
          <xdr:rowOff>0</xdr:rowOff>
        </xdr:from>
        <xdr:to>
          <xdr:col>18</xdr:col>
          <xdr:colOff>171450</xdr:colOff>
          <xdr:row>28</xdr:row>
          <xdr:rowOff>0</xdr:rowOff>
        </xdr:to>
        <xdr:sp macro="" textlink="">
          <xdr:nvSpPr>
            <xdr:cNvPr id="33817" name="Spinner 25" hidden="1">
              <a:extLst>
                <a:ext uri="{63B3BB69-23CF-44E3-9099-C40C66FF867C}">
                  <a14:compatExt spid="_x0000_s33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29</xdr:row>
          <xdr:rowOff>0</xdr:rowOff>
        </xdr:from>
        <xdr:to>
          <xdr:col>18</xdr:col>
          <xdr:colOff>171450</xdr:colOff>
          <xdr:row>30</xdr:row>
          <xdr:rowOff>0</xdr:rowOff>
        </xdr:to>
        <xdr:sp macro="" textlink="">
          <xdr:nvSpPr>
            <xdr:cNvPr id="33818" name="Spinner 26" hidden="1">
              <a:extLst>
                <a:ext uri="{63B3BB69-23CF-44E3-9099-C40C66FF867C}">
                  <a14:compatExt spid="_x0000_s33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31</xdr:row>
          <xdr:rowOff>0</xdr:rowOff>
        </xdr:from>
        <xdr:to>
          <xdr:col>18</xdr:col>
          <xdr:colOff>171450</xdr:colOff>
          <xdr:row>32</xdr:row>
          <xdr:rowOff>0</xdr:rowOff>
        </xdr:to>
        <xdr:sp macro="" textlink="">
          <xdr:nvSpPr>
            <xdr:cNvPr id="33819" name="Spinner 27" hidden="1">
              <a:extLst>
                <a:ext uri="{63B3BB69-23CF-44E3-9099-C40C66FF867C}">
                  <a14:compatExt spid="_x0000_s33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</xdr:colOff>
          <xdr:row>33</xdr:row>
          <xdr:rowOff>0</xdr:rowOff>
        </xdr:from>
        <xdr:to>
          <xdr:col>18</xdr:col>
          <xdr:colOff>171450</xdr:colOff>
          <xdr:row>34</xdr:row>
          <xdr:rowOff>0</xdr:rowOff>
        </xdr:to>
        <xdr:sp macro="" textlink="">
          <xdr:nvSpPr>
            <xdr:cNvPr id="33820" name="Spinner 28" hidden="1">
              <a:extLst>
                <a:ext uri="{63B3BB69-23CF-44E3-9099-C40C66FF867C}">
                  <a14:compatExt spid="_x0000_s33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104774</xdr:colOff>
      <xdr:row>3</xdr:row>
      <xdr:rowOff>38100</xdr:rowOff>
    </xdr:from>
    <xdr:to>
      <xdr:col>2</xdr:col>
      <xdr:colOff>409576</xdr:colOff>
      <xdr:row>3</xdr:row>
      <xdr:rowOff>295276</xdr:rowOff>
    </xdr:to>
    <xdr:sp macro="" textlink="">
      <xdr:nvSpPr>
        <xdr:cNvPr id="36" name="Plaque 35">
          <a:hlinkClick xmlns:r="http://schemas.openxmlformats.org/officeDocument/2006/relationships" r:id="rId1"/>
        </xdr:cNvPr>
        <xdr:cNvSpPr/>
      </xdr:nvSpPr>
      <xdr:spPr>
        <a:xfrm>
          <a:off x="352424" y="1362075"/>
          <a:ext cx="819152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23</xdr:col>
      <xdr:colOff>200025</xdr:colOff>
      <xdr:row>3</xdr:row>
      <xdr:rowOff>57150</xdr:rowOff>
    </xdr:from>
    <xdr:to>
      <xdr:col>23</xdr:col>
      <xdr:colOff>466725</xdr:colOff>
      <xdr:row>3</xdr:row>
      <xdr:rowOff>323850</xdr:rowOff>
    </xdr:to>
    <xdr:sp macro="[0]!message7" textlink="">
      <xdr:nvSpPr>
        <xdr:cNvPr id="37" name="Ellipse 36"/>
        <xdr:cNvSpPr/>
      </xdr:nvSpPr>
      <xdr:spPr>
        <a:xfrm>
          <a:off x="10591800" y="1428750"/>
          <a:ext cx="266700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20</xdr:col>
      <xdr:colOff>384919</xdr:colOff>
      <xdr:row>0</xdr:row>
      <xdr:rowOff>163829</xdr:rowOff>
    </xdr:from>
    <xdr:to>
      <xdr:col>23</xdr:col>
      <xdr:colOff>287656</xdr:colOff>
      <xdr:row>1</xdr:row>
      <xdr:rowOff>320040</xdr:rowOff>
    </xdr:to>
    <xdr:pic>
      <xdr:nvPicPr>
        <xdr:cNvPr id="38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75579" y="163829"/>
          <a:ext cx="1464838" cy="918211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2</xdr:col>
      <xdr:colOff>723901</xdr:colOff>
      <xdr:row>3</xdr:row>
      <xdr:rowOff>38100</xdr:rowOff>
    </xdr:from>
    <xdr:to>
      <xdr:col>3</xdr:col>
      <xdr:colOff>95251</xdr:colOff>
      <xdr:row>3</xdr:row>
      <xdr:rowOff>295276</xdr:rowOff>
    </xdr:to>
    <xdr:sp macro="[0]!EffaceStock" textlink="">
      <xdr:nvSpPr>
        <xdr:cNvPr id="42" name="Plaque 41"/>
        <xdr:cNvSpPr/>
      </xdr:nvSpPr>
      <xdr:spPr>
        <a:xfrm>
          <a:off x="1485901" y="1362075"/>
          <a:ext cx="819150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4</xdr:col>
      <xdr:colOff>152400</xdr:colOff>
      <xdr:row>3</xdr:row>
      <xdr:rowOff>47625</xdr:rowOff>
    </xdr:from>
    <xdr:to>
      <xdr:col>6</xdr:col>
      <xdr:colOff>347534</xdr:colOff>
      <xdr:row>3</xdr:row>
      <xdr:rowOff>321791</xdr:rowOff>
    </xdr:to>
    <xdr:sp macro="[0]!ValAnim" textlink="">
      <xdr:nvSpPr>
        <xdr:cNvPr id="44" name="Plaque 43">
          <a:hlinkClick xmlns:r="http://schemas.openxmlformats.org/officeDocument/2006/relationships" r:id="rId3"/>
        </xdr:cNvPr>
        <xdr:cNvSpPr/>
      </xdr:nvSpPr>
      <xdr:spPr>
        <a:xfrm>
          <a:off x="2778211" y="1373402"/>
          <a:ext cx="1096147" cy="274166"/>
        </a:xfrm>
        <a:prstGeom prst="bevel">
          <a:avLst/>
        </a:prstGeom>
        <a:solidFill>
          <a:srgbClr val="C00000"/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VALIDER</a:t>
          </a:r>
        </a:p>
      </xdr:txBody>
    </xdr:sp>
    <xdr:clientData/>
  </xdr:twoCellAnchor>
  <xdr:twoCellAnchor>
    <xdr:from>
      <xdr:col>5</xdr:col>
      <xdr:colOff>147036</xdr:colOff>
      <xdr:row>8</xdr:row>
      <xdr:rowOff>157208</xdr:rowOff>
    </xdr:from>
    <xdr:to>
      <xdr:col>5</xdr:col>
      <xdr:colOff>147037</xdr:colOff>
      <xdr:row>8</xdr:row>
      <xdr:rowOff>474217</xdr:rowOff>
    </xdr:to>
    <xdr:cxnSp macro="">
      <xdr:nvCxnSpPr>
        <xdr:cNvPr id="45" name="Connecteur droit avec flèche 44"/>
        <xdr:cNvCxnSpPr/>
      </xdr:nvCxnSpPr>
      <xdr:spPr>
        <a:xfrm>
          <a:off x="3596381" y="2709538"/>
          <a:ext cx="1" cy="317009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119294</xdr:colOff>
      <xdr:row>8</xdr:row>
      <xdr:rowOff>176259</xdr:rowOff>
    </xdr:from>
    <xdr:to>
      <xdr:col>11</xdr:col>
      <xdr:colOff>119294</xdr:colOff>
      <xdr:row>8</xdr:row>
      <xdr:rowOff>502421</xdr:rowOff>
    </xdr:to>
    <xdr:cxnSp macro="">
      <xdr:nvCxnSpPr>
        <xdr:cNvPr id="47" name="Connecteur droit avec flèche 46"/>
        <xdr:cNvCxnSpPr/>
      </xdr:nvCxnSpPr>
      <xdr:spPr>
        <a:xfrm>
          <a:off x="6324415" y="2728589"/>
          <a:ext cx="0" cy="32616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100656</xdr:colOff>
      <xdr:row>6</xdr:row>
      <xdr:rowOff>17747</xdr:rowOff>
    </xdr:from>
    <xdr:to>
      <xdr:col>8</xdr:col>
      <xdr:colOff>604965</xdr:colOff>
      <xdr:row>8</xdr:row>
      <xdr:rowOff>211739</xdr:rowOff>
    </xdr:to>
    <xdr:pic>
      <xdr:nvPicPr>
        <xdr:cNvPr id="39" name="Imag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82953" y="2205923"/>
          <a:ext cx="504309" cy="580140"/>
        </a:xfrm>
        <a:prstGeom prst="rect">
          <a:avLst/>
        </a:prstGeom>
      </xdr:spPr>
    </xdr:pic>
    <xdr:clientData/>
  </xdr:twoCellAnchor>
  <xdr:twoCellAnchor editAs="oneCell">
    <xdr:from>
      <xdr:col>8</xdr:col>
      <xdr:colOff>150083</xdr:colOff>
      <xdr:row>18</xdr:row>
      <xdr:rowOff>118661</xdr:rowOff>
    </xdr:from>
    <xdr:to>
      <xdr:col>8</xdr:col>
      <xdr:colOff>654392</xdr:colOff>
      <xdr:row>20</xdr:row>
      <xdr:rowOff>171065</xdr:rowOff>
    </xdr:to>
    <xdr:pic>
      <xdr:nvPicPr>
        <xdr:cNvPr id="40" name="Image 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2380" y="5421769"/>
          <a:ext cx="504309" cy="580140"/>
        </a:xfrm>
        <a:prstGeom prst="rect">
          <a:avLst/>
        </a:prstGeom>
      </xdr:spPr>
    </xdr:pic>
    <xdr:clientData/>
  </xdr:twoCellAnchor>
  <xdr:twoCellAnchor>
    <xdr:from>
      <xdr:col>11</xdr:col>
      <xdr:colOff>110972</xdr:colOff>
      <xdr:row>20</xdr:row>
      <xdr:rowOff>221942</xdr:rowOff>
    </xdr:from>
    <xdr:to>
      <xdr:col>11</xdr:col>
      <xdr:colOff>112207</xdr:colOff>
      <xdr:row>20</xdr:row>
      <xdr:rowOff>540377</xdr:rowOff>
    </xdr:to>
    <xdr:cxnSp macro="">
      <xdr:nvCxnSpPr>
        <xdr:cNvPr id="43" name="Connecteur droit avec flèche 42"/>
        <xdr:cNvCxnSpPr/>
      </xdr:nvCxnSpPr>
      <xdr:spPr>
        <a:xfrm>
          <a:off x="6316093" y="6103398"/>
          <a:ext cx="1235" cy="318435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123732</xdr:colOff>
      <xdr:row>8</xdr:row>
      <xdr:rowOff>199193</xdr:rowOff>
    </xdr:from>
    <xdr:to>
      <xdr:col>13</xdr:col>
      <xdr:colOff>123732</xdr:colOff>
      <xdr:row>8</xdr:row>
      <xdr:rowOff>525355</xdr:rowOff>
    </xdr:to>
    <xdr:cxnSp macro="">
      <xdr:nvCxnSpPr>
        <xdr:cNvPr id="46" name="Connecteur droit avec flèche 45"/>
        <xdr:cNvCxnSpPr/>
      </xdr:nvCxnSpPr>
      <xdr:spPr>
        <a:xfrm>
          <a:off x="7216620" y="2751523"/>
          <a:ext cx="0" cy="32616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100429</xdr:colOff>
      <xdr:row>20</xdr:row>
      <xdr:rowOff>222127</xdr:rowOff>
    </xdr:from>
    <xdr:to>
      <xdr:col>13</xdr:col>
      <xdr:colOff>100429</xdr:colOff>
      <xdr:row>20</xdr:row>
      <xdr:rowOff>548289</xdr:rowOff>
    </xdr:to>
    <xdr:cxnSp macro="">
      <xdr:nvCxnSpPr>
        <xdr:cNvPr id="48" name="Connecteur droit avec flèche 47"/>
        <xdr:cNvCxnSpPr/>
      </xdr:nvCxnSpPr>
      <xdr:spPr>
        <a:xfrm>
          <a:off x="7193317" y="6103583"/>
          <a:ext cx="0" cy="32616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129466</xdr:colOff>
      <xdr:row>20</xdr:row>
      <xdr:rowOff>203447</xdr:rowOff>
    </xdr:from>
    <xdr:to>
      <xdr:col>5</xdr:col>
      <xdr:colOff>129466</xdr:colOff>
      <xdr:row>20</xdr:row>
      <xdr:rowOff>529609</xdr:rowOff>
    </xdr:to>
    <xdr:cxnSp macro="">
      <xdr:nvCxnSpPr>
        <xdr:cNvPr id="49" name="Connecteur droit avec flèche 48"/>
        <xdr:cNvCxnSpPr/>
      </xdr:nvCxnSpPr>
      <xdr:spPr>
        <a:xfrm>
          <a:off x="3578811" y="6084903"/>
          <a:ext cx="0" cy="326162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628650</xdr:colOff>
          <xdr:row>11</xdr:row>
          <xdr:rowOff>133350</xdr:rowOff>
        </xdr:from>
        <xdr:to>
          <xdr:col>21</xdr:col>
          <xdr:colOff>28575</xdr:colOff>
          <xdr:row>14</xdr:row>
          <xdr:rowOff>0</xdr:rowOff>
        </xdr:to>
        <xdr:sp macro="" textlink="">
          <xdr:nvSpPr>
            <xdr:cNvPr id="34817" name="Spinner 1" hidden="1">
              <a:extLst>
                <a:ext uri="{63B3BB69-23CF-44E3-9099-C40C66FF867C}">
                  <a14:compatExt spid="_x0000_s34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104773</xdr:colOff>
      <xdr:row>3</xdr:row>
      <xdr:rowOff>38100</xdr:rowOff>
    </xdr:from>
    <xdr:to>
      <xdr:col>3</xdr:col>
      <xdr:colOff>85725</xdr:colOff>
      <xdr:row>3</xdr:row>
      <xdr:rowOff>295276</xdr:rowOff>
    </xdr:to>
    <xdr:sp macro="" textlink="">
      <xdr:nvSpPr>
        <xdr:cNvPr id="3" name="Plaque 2">
          <a:hlinkClick xmlns:r="http://schemas.openxmlformats.org/officeDocument/2006/relationships" r:id="rId1"/>
        </xdr:cNvPr>
        <xdr:cNvSpPr/>
      </xdr:nvSpPr>
      <xdr:spPr>
        <a:xfrm>
          <a:off x="285748" y="1343025"/>
          <a:ext cx="781052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ACCUEIL</a:t>
          </a:r>
        </a:p>
      </xdr:txBody>
    </xdr:sp>
    <xdr:clientData/>
  </xdr:twoCellAnchor>
  <xdr:twoCellAnchor>
    <xdr:from>
      <xdr:col>22</xdr:col>
      <xdr:colOff>360045</xdr:colOff>
      <xdr:row>3</xdr:row>
      <xdr:rowOff>41910</xdr:rowOff>
    </xdr:from>
    <xdr:to>
      <xdr:col>22</xdr:col>
      <xdr:colOff>647700</xdr:colOff>
      <xdr:row>3</xdr:row>
      <xdr:rowOff>308610</xdr:rowOff>
    </xdr:to>
    <xdr:sp macro="[0]!message11" textlink="">
      <xdr:nvSpPr>
        <xdr:cNvPr id="4" name="Ellipse 3"/>
        <xdr:cNvSpPr/>
      </xdr:nvSpPr>
      <xdr:spPr>
        <a:xfrm>
          <a:off x="11287125" y="1337310"/>
          <a:ext cx="287655" cy="266700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114300" dir="5400000" algn="ctr" rotWithShape="0">
            <a:schemeClr val="tx1">
              <a:alpha val="43000"/>
            </a:scheme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200" b="1"/>
            <a:t>?</a:t>
          </a:r>
        </a:p>
      </xdr:txBody>
    </xdr:sp>
    <xdr:clientData/>
  </xdr:twoCellAnchor>
  <xdr:twoCellAnchor editAs="oneCell">
    <xdr:from>
      <xdr:col>19</xdr:col>
      <xdr:colOff>232411</xdr:colOff>
      <xdr:row>0</xdr:row>
      <xdr:rowOff>163828</xdr:rowOff>
    </xdr:from>
    <xdr:to>
      <xdr:col>22</xdr:col>
      <xdr:colOff>1905</xdr:colOff>
      <xdr:row>0</xdr:row>
      <xdr:rowOff>723899</xdr:rowOff>
    </xdr:to>
    <xdr:pic>
      <xdr:nvPicPr>
        <xdr:cNvPr id="5" name="Picture 2" descr="http://www.icone-gif.com/gif/animaux/moutons/mouton011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47861" y="163828"/>
          <a:ext cx="1102995" cy="560071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>
    <xdr:from>
      <xdr:col>3</xdr:col>
      <xdr:colOff>361949</xdr:colOff>
      <xdr:row>3</xdr:row>
      <xdr:rowOff>38100</xdr:rowOff>
    </xdr:from>
    <xdr:to>
      <xdr:col>3</xdr:col>
      <xdr:colOff>1209674</xdr:colOff>
      <xdr:row>3</xdr:row>
      <xdr:rowOff>295276</xdr:rowOff>
    </xdr:to>
    <xdr:sp macro="[0]!EffacerBF" textlink="">
      <xdr:nvSpPr>
        <xdr:cNvPr id="6" name="Plaque 5"/>
        <xdr:cNvSpPr/>
      </xdr:nvSpPr>
      <xdr:spPr>
        <a:xfrm>
          <a:off x="1343024" y="1343025"/>
          <a:ext cx="847725" cy="257176"/>
        </a:xfrm>
        <a:prstGeom prst="bevel">
          <a:avLst/>
        </a:prstGeom>
        <a:gradFill flip="none" rotWithShape="1">
          <a:gsLst>
            <a:gs pos="0">
              <a:schemeClr val="accent3">
                <a:lumMod val="75000"/>
              </a:schemeClr>
            </a:gs>
            <a:gs pos="50000">
              <a:srgbClr val="9CB86E"/>
            </a:gs>
            <a:gs pos="100000">
              <a:srgbClr val="156B13"/>
            </a:gs>
          </a:gsLst>
          <a:lin ang="5400000" scaled="0"/>
          <a:tileRect r="-100000" b="-100000"/>
        </a:gra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EFFACER</a:t>
          </a:r>
        </a:p>
      </xdr:txBody>
    </xdr:sp>
    <xdr:clientData/>
  </xdr:twoCellAnchor>
  <xdr:twoCellAnchor>
    <xdr:from>
      <xdr:col>4</xdr:col>
      <xdr:colOff>91744</xdr:colOff>
      <xdr:row>3</xdr:row>
      <xdr:rowOff>47625</xdr:rowOff>
    </xdr:from>
    <xdr:to>
      <xdr:col>7</xdr:col>
      <xdr:colOff>53644</xdr:colOff>
      <xdr:row>3</xdr:row>
      <xdr:rowOff>323850</xdr:rowOff>
    </xdr:to>
    <xdr:sp macro="[0]!ValFourr" textlink="">
      <xdr:nvSpPr>
        <xdr:cNvPr id="8" name="Plaque 7">
          <a:hlinkClick xmlns:r="http://schemas.openxmlformats.org/officeDocument/2006/relationships" r:id="rId3"/>
        </xdr:cNvPr>
        <xdr:cNvSpPr/>
      </xdr:nvSpPr>
      <xdr:spPr>
        <a:xfrm>
          <a:off x="2488033" y="1351046"/>
          <a:ext cx="934453" cy="276225"/>
        </a:xfrm>
        <a:prstGeom prst="bevel">
          <a:avLst/>
        </a:prstGeom>
        <a:solidFill>
          <a:schemeClr val="accent1">
            <a:lumMod val="50000"/>
          </a:schemeClr>
        </a:solidFill>
        <a:ln w="0">
          <a:noFill/>
        </a:ln>
        <a:effectLst>
          <a:outerShdw blurRad="50800" dist="114300" dir="5400000" algn="ctr" rotWithShape="0">
            <a:srgbClr val="000000">
              <a:alpha val="43137"/>
            </a:srgbClr>
          </a:outerShdw>
        </a:effectLst>
        <a:scene3d>
          <a:camera prst="orthographicFront"/>
          <a:lightRig rig="glow" dir="t"/>
        </a:scene3d>
        <a:sp3d prstMaterial="plastic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fr-FR" sz="1000" b="1"/>
            <a:t>RETOUR</a:t>
          </a:r>
          <a:r>
            <a:rPr lang="fr-FR" sz="900" b="1"/>
            <a:t> </a:t>
          </a:r>
        </a:p>
      </xdr:txBody>
    </xdr:sp>
    <xdr:clientData/>
  </xdr:twoCellAnchor>
  <xdr:twoCellAnchor>
    <xdr:from>
      <xdr:col>4</xdr:col>
      <xdr:colOff>0</xdr:colOff>
      <xdr:row>7</xdr:row>
      <xdr:rowOff>114300</xdr:rowOff>
    </xdr:from>
    <xdr:to>
      <xdr:col>4</xdr:col>
      <xdr:colOff>1</xdr:colOff>
      <xdr:row>7</xdr:row>
      <xdr:rowOff>428997</xdr:rowOff>
    </xdr:to>
    <xdr:cxnSp macro="">
      <xdr:nvCxnSpPr>
        <xdr:cNvPr id="10" name="Connecteur droit avec flèche 9"/>
        <xdr:cNvCxnSpPr/>
      </xdr:nvCxnSpPr>
      <xdr:spPr>
        <a:xfrm>
          <a:off x="2257425" y="2428875"/>
          <a:ext cx="1" cy="314697"/>
        </a:xfrm>
        <a:prstGeom prst="straightConnector1">
          <a:avLst/>
        </a:prstGeom>
        <a:ln>
          <a:solidFill>
            <a:srgbClr val="C0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762000</xdr:colOff>
      <xdr:row>5</xdr:row>
      <xdr:rowOff>314325</xdr:rowOff>
    </xdr:from>
    <xdr:to>
      <xdr:col>3</xdr:col>
      <xdr:colOff>1200150</xdr:colOff>
      <xdr:row>7</xdr:row>
      <xdr:rowOff>314971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075" y="2143125"/>
          <a:ext cx="438150" cy="486421"/>
        </a:xfrm>
        <a:prstGeom prst="rect">
          <a:avLst/>
        </a:prstGeom>
      </xdr:spPr>
    </xdr:pic>
    <xdr:clientData/>
  </xdr:twoCellAnchor>
  <xdr:twoCellAnchor>
    <xdr:from>
      <xdr:col>24</xdr:col>
      <xdr:colOff>200526</xdr:colOff>
      <xdr:row>7</xdr:row>
      <xdr:rowOff>50131</xdr:rowOff>
    </xdr:from>
    <xdr:to>
      <xdr:col>27</xdr:col>
      <xdr:colOff>651711</xdr:colOff>
      <xdr:row>28</xdr:row>
      <xdr:rowOff>120316</xdr:rowOff>
    </xdr:to>
    <xdr:graphicFrame macro="">
      <xdr:nvGraphicFramePr>
        <xdr:cNvPr id="12" name="Graphique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rice.ranoux@educagri.f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18" Type="http://schemas.openxmlformats.org/officeDocument/2006/relationships/ctrlProp" Target="../ctrlProps/ctrlProp41.xml"/><Relationship Id="rId26" Type="http://schemas.openxmlformats.org/officeDocument/2006/relationships/ctrlProp" Target="../ctrlProps/ctrlProp49.xml"/><Relationship Id="rId3" Type="http://schemas.openxmlformats.org/officeDocument/2006/relationships/vmlDrawing" Target="../drawings/vmlDrawing10.vml"/><Relationship Id="rId21" Type="http://schemas.openxmlformats.org/officeDocument/2006/relationships/ctrlProp" Target="../ctrlProps/ctrlProp44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7" Type="http://schemas.openxmlformats.org/officeDocument/2006/relationships/ctrlProp" Target="../ctrlProps/ctrlProp40.xml"/><Relationship Id="rId25" Type="http://schemas.openxmlformats.org/officeDocument/2006/relationships/ctrlProp" Target="../ctrlProps/ctrlProp48.xml"/><Relationship Id="rId2" Type="http://schemas.openxmlformats.org/officeDocument/2006/relationships/drawing" Target="../drawings/drawing17.xml"/><Relationship Id="rId16" Type="http://schemas.openxmlformats.org/officeDocument/2006/relationships/ctrlProp" Target="../ctrlProps/ctrlProp39.xml"/><Relationship Id="rId20" Type="http://schemas.openxmlformats.org/officeDocument/2006/relationships/ctrlProp" Target="../ctrlProps/ctrlProp43.xml"/><Relationship Id="rId29" Type="http://schemas.openxmlformats.org/officeDocument/2006/relationships/ctrlProp" Target="../ctrlProps/ctrlProp52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24" Type="http://schemas.openxmlformats.org/officeDocument/2006/relationships/ctrlProp" Target="../ctrlProps/ctrlProp47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23" Type="http://schemas.openxmlformats.org/officeDocument/2006/relationships/ctrlProp" Target="../ctrlProps/ctrlProp46.xml"/><Relationship Id="rId28" Type="http://schemas.openxmlformats.org/officeDocument/2006/relationships/ctrlProp" Target="../ctrlProps/ctrlProp51.xml"/><Relationship Id="rId10" Type="http://schemas.openxmlformats.org/officeDocument/2006/relationships/ctrlProp" Target="../ctrlProps/ctrlProp33.xml"/><Relationship Id="rId19" Type="http://schemas.openxmlformats.org/officeDocument/2006/relationships/ctrlProp" Target="../ctrlProps/ctrlProp42.xml"/><Relationship Id="rId31" Type="http://schemas.openxmlformats.org/officeDocument/2006/relationships/ctrlProp" Target="../ctrlProps/ctrlProp54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Relationship Id="rId22" Type="http://schemas.openxmlformats.org/officeDocument/2006/relationships/ctrlProp" Target="../ctrlProps/ctrlProp45.xml"/><Relationship Id="rId27" Type="http://schemas.openxmlformats.org/officeDocument/2006/relationships/ctrlProp" Target="../ctrlProps/ctrlProp50.xml"/><Relationship Id="rId30" Type="http://schemas.openxmlformats.org/officeDocument/2006/relationships/ctrlProp" Target="../ctrlProps/ctrlProp5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Y13"/>
  <sheetViews>
    <sheetView showGridLines="0" showRowColHeaders="0" zoomScale="110" zoomScaleNormal="110" workbookViewId="0"/>
  </sheetViews>
  <sheetFormatPr defaultColWidth="11.42578125" defaultRowHeight="15" x14ac:dyDescent="0.25"/>
  <cols>
    <col min="1" max="1" width="3" customWidth="1"/>
    <col min="3" max="3" width="41.28515625" customWidth="1"/>
    <col min="5" max="5" width="2.85546875" customWidth="1"/>
    <col min="6" max="6" width="2.7109375" customWidth="1"/>
    <col min="11" max="11" width="17.85546875" customWidth="1"/>
    <col min="12" max="12" width="4.140625" customWidth="1"/>
  </cols>
  <sheetData>
    <row r="1" spans="1:25" ht="23.25" customHeight="1" x14ac:dyDescent="0.25">
      <c r="A1" s="342"/>
      <c r="B1" s="561" t="s">
        <v>762</v>
      </c>
      <c r="C1" s="497"/>
      <c r="D1" s="778"/>
      <c r="E1" s="778"/>
      <c r="F1" s="778"/>
      <c r="G1" s="778"/>
      <c r="H1" s="778"/>
      <c r="I1" s="497"/>
      <c r="J1" s="497"/>
      <c r="K1" s="780"/>
      <c r="L1" s="497"/>
      <c r="N1" s="366"/>
      <c r="O1" s="366"/>
    </row>
    <row r="2" spans="1:25" ht="114" customHeight="1" x14ac:dyDescent="0.9">
      <c r="A2" s="497"/>
      <c r="B2" s="1059" t="s">
        <v>1187</v>
      </c>
      <c r="C2" s="1059"/>
      <c r="D2" s="1059"/>
      <c r="E2" s="1059"/>
      <c r="F2" s="1059"/>
      <c r="G2" s="1059"/>
      <c r="H2" s="1059"/>
      <c r="I2" s="1059"/>
      <c r="J2" s="1059"/>
      <c r="K2" s="1059"/>
      <c r="L2" s="497"/>
      <c r="N2" s="779"/>
      <c r="O2" s="366"/>
      <c r="Y2" s="783"/>
    </row>
    <row r="3" spans="1:25" ht="42.75" customHeight="1" x14ac:dyDescent="0.25">
      <c r="A3" s="329"/>
      <c r="B3" s="1060" t="s">
        <v>1148</v>
      </c>
      <c r="C3" s="1061"/>
      <c r="D3" s="1061"/>
      <c r="E3" s="1061"/>
      <c r="F3" s="1061"/>
      <c r="G3" s="1061"/>
      <c r="H3" s="1061"/>
      <c r="I3" s="1061"/>
      <c r="J3" s="1061"/>
      <c r="K3" s="1062"/>
      <c r="L3" s="497"/>
    </row>
    <row r="4" spans="1:25" ht="26.25" customHeight="1" x14ac:dyDescent="0.25">
      <c r="A4" s="126"/>
      <c r="B4" s="1063" t="s">
        <v>1146</v>
      </c>
      <c r="C4" s="1063"/>
      <c r="D4" s="1063"/>
      <c r="E4" s="1063"/>
      <c r="F4" s="1063"/>
      <c r="G4" s="1063"/>
      <c r="H4" s="1063"/>
      <c r="I4" s="1063"/>
      <c r="J4" s="1063"/>
      <c r="K4" s="1063"/>
      <c r="L4" s="497"/>
    </row>
    <row r="5" spans="1:25" ht="23.25" x14ac:dyDescent="0.35">
      <c r="A5" s="126"/>
      <c r="B5" s="497"/>
      <c r="C5" s="1064"/>
      <c r="D5" s="1064"/>
      <c r="E5" s="1064"/>
      <c r="F5" s="1064"/>
      <c r="G5" s="1064"/>
      <c r="H5" s="1064"/>
      <c r="I5" s="1064"/>
      <c r="J5" s="1064"/>
      <c r="K5" s="497"/>
      <c r="L5" s="497"/>
    </row>
    <row r="6" spans="1:25" x14ac:dyDescent="0.25">
      <c r="A6" s="126"/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</row>
    <row r="7" spans="1:25" x14ac:dyDescent="0.25">
      <c r="A7" s="126"/>
      <c r="B7" s="497"/>
      <c r="C7" s="497"/>
      <c r="D7" s="497"/>
      <c r="E7" s="497"/>
      <c r="F7" s="497"/>
      <c r="G7" s="497"/>
      <c r="H7" s="497"/>
      <c r="I7" s="497"/>
      <c r="J7" s="497"/>
      <c r="K7" s="497"/>
      <c r="L7" s="497"/>
    </row>
    <row r="8" spans="1:25" x14ac:dyDescent="0.25">
      <c r="A8" s="126"/>
      <c r="B8" s="497"/>
      <c r="C8" s="497"/>
      <c r="D8" s="497"/>
      <c r="E8" s="497"/>
      <c r="F8" s="497"/>
      <c r="G8" s="497"/>
      <c r="H8" s="497"/>
      <c r="I8" s="497"/>
      <c r="J8" s="497"/>
      <c r="K8" s="497"/>
      <c r="L8" s="497"/>
    </row>
    <row r="9" spans="1:25" x14ac:dyDescent="0.25">
      <c r="A9" s="126"/>
      <c r="B9" s="497"/>
      <c r="C9" s="497"/>
      <c r="D9" s="497"/>
      <c r="E9" s="497"/>
      <c r="F9" s="497"/>
      <c r="G9" s="497"/>
      <c r="H9" s="497"/>
      <c r="I9" s="497"/>
      <c r="J9" s="497"/>
      <c r="K9" s="497"/>
      <c r="L9" s="497"/>
    </row>
    <row r="10" spans="1:25" ht="21" x14ac:dyDescent="0.35">
      <c r="A10" s="126"/>
      <c r="B10" s="1065" t="s">
        <v>1279</v>
      </c>
      <c r="C10" s="1065"/>
      <c r="D10" s="1065"/>
      <c r="E10" s="1065"/>
      <c r="F10" s="1065"/>
      <c r="G10" s="1065"/>
      <c r="H10" s="1065"/>
      <c r="I10" s="1065"/>
      <c r="J10" s="1065"/>
      <c r="K10" s="1065"/>
      <c r="L10" s="497"/>
    </row>
    <row r="11" spans="1:25" ht="21" x14ac:dyDescent="0.35">
      <c r="A11" s="329"/>
      <c r="B11" s="497"/>
      <c r="C11" s="1058" t="s">
        <v>1147</v>
      </c>
      <c r="D11" s="1058"/>
      <c r="E11" s="1058"/>
      <c r="F11" s="1058"/>
      <c r="G11" s="1058"/>
      <c r="H11" s="1058"/>
      <c r="I11" s="1058"/>
      <c r="J11" s="1058"/>
      <c r="K11" s="1058"/>
      <c r="L11" s="497"/>
    </row>
    <row r="12" spans="1:25" x14ac:dyDescent="0.25">
      <c r="A12" s="126"/>
      <c r="B12" s="497"/>
      <c r="C12" s="497"/>
      <c r="D12" s="497"/>
      <c r="E12" s="497"/>
      <c r="F12" s="497"/>
      <c r="G12" s="497"/>
      <c r="H12" s="497"/>
      <c r="I12" s="497"/>
      <c r="J12" s="497"/>
      <c r="K12" s="497"/>
      <c r="L12" s="497"/>
    </row>
    <row r="13" spans="1:25" x14ac:dyDescent="0.25">
      <c r="A13" s="329"/>
      <c r="B13" s="497"/>
      <c r="C13" s="497"/>
      <c r="D13" s="497"/>
      <c r="E13" s="497"/>
      <c r="F13" s="497"/>
      <c r="G13" s="497"/>
      <c r="H13" s="497"/>
      <c r="I13" s="497"/>
      <c r="J13" s="497"/>
      <c r="K13" s="497"/>
      <c r="L13" s="497"/>
    </row>
  </sheetData>
  <mergeCells count="6">
    <mergeCell ref="C11:K11"/>
    <mergeCell ref="B2:K2"/>
    <mergeCell ref="B3:K3"/>
    <mergeCell ref="B4:K4"/>
    <mergeCell ref="C5:J5"/>
    <mergeCell ref="B10:K10"/>
  </mergeCells>
  <hyperlinks>
    <hyperlink ref="B1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33"/>
  <sheetViews>
    <sheetView showGridLines="0" showRowColHeaders="0" zoomScale="130" zoomScaleNormal="130" workbookViewId="0">
      <selection activeCell="G39" sqref="G39"/>
    </sheetView>
  </sheetViews>
  <sheetFormatPr defaultColWidth="11.42578125" defaultRowHeight="15" x14ac:dyDescent="0.25"/>
  <cols>
    <col min="1" max="1" width="4.28515625" customWidth="1"/>
    <col min="2" max="2" width="5.140625" customWidth="1"/>
    <col min="3" max="3" width="12.7109375" customWidth="1"/>
    <col min="4" max="4" width="4.28515625" customWidth="1"/>
    <col min="5" max="5" width="6.7109375" customWidth="1"/>
    <col min="7" max="7" width="35.42578125" customWidth="1"/>
    <col min="8" max="8" width="11.42578125" customWidth="1"/>
    <col min="11" max="11" width="6.85546875" customWidth="1"/>
    <col min="12" max="12" width="8.28515625" customWidth="1"/>
    <col min="13" max="13" width="3" style="216" customWidth="1"/>
    <col min="14" max="14" width="19.7109375" customWidth="1"/>
    <col min="15" max="15" width="3.28515625" customWidth="1"/>
    <col min="16" max="16" width="5" customWidth="1"/>
  </cols>
  <sheetData>
    <row r="1" spans="1:18" s="473" customFormat="1" ht="9.9499999999999993" customHeight="1" x14ac:dyDescent="0.25">
      <c r="A1" s="329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71"/>
      <c r="M1" s="371"/>
      <c r="N1" s="371"/>
      <c r="O1" s="371"/>
      <c r="P1" s="371"/>
    </row>
    <row r="2" spans="1:18" ht="56.25" customHeight="1" thickBot="1" x14ac:dyDescent="0.3">
      <c r="A2" s="111"/>
      <c r="B2" s="1075" t="s">
        <v>1275</v>
      </c>
      <c r="C2" s="1075"/>
      <c r="D2" s="1075"/>
      <c r="E2" s="1075"/>
      <c r="F2" s="1075"/>
      <c r="G2" s="1075"/>
      <c r="H2" s="1075"/>
      <c r="I2" s="1075"/>
      <c r="J2" s="1075"/>
      <c r="K2" s="111"/>
      <c r="L2" s="371"/>
      <c r="M2" s="371"/>
      <c r="N2" s="371"/>
      <c r="O2" s="371"/>
      <c r="P2" s="371"/>
    </row>
    <row r="3" spans="1:18" ht="26.25" customHeight="1" thickBot="1" x14ac:dyDescent="0.3">
      <c r="A3" s="111"/>
      <c r="B3" s="1076" t="s">
        <v>870</v>
      </c>
      <c r="C3" s="1077"/>
      <c r="D3" s="1077"/>
      <c r="E3" s="1077"/>
      <c r="F3" s="1077"/>
      <c r="G3" s="1077"/>
      <c r="H3" s="1077"/>
      <c r="I3" s="1077"/>
      <c r="J3" s="1078"/>
      <c r="K3" s="133"/>
      <c r="L3" s="371"/>
      <c r="M3" s="371"/>
      <c r="N3" s="371"/>
      <c r="O3" s="371"/>
      <c r="P3" s="371"/>
    </row>
    <row r="4" spans="1:18" ht="15" customHeight="1" x14ac:dyDescent="0.25">
      <c r="A4" s="100"/>
      <c r="B4" s="1079" t="s">
        <v>1280</v>
      </c>
      <c r="C4" s="1079"/>
      <c r="D4" s="1079"/>
      <c r="E4" s="1079"/>
      <c r="F4" s="1079"/>
      <c r="G4" s="1079"/>
      <c r="H4" s="1079"/>
      <c r="I4" s="1079"/>
      <c r="J4" s="1079"/>
      <c r="K4" s="100"/>
      <c r="L4" s="371"/>
      <c r="M4" s="371"/>
      <c r="N4" s="639"/>
      <c r="O4" s="639"/>
      <c r="P4" s="639"/>
      <c r="Q4" s="639"/>
      <c r="R4" s="639"/>
    </row>
    <row r="5" spans="1:18" ht="6" customHeight="1" x14ac:dyDescent="0.25">
      <c r="A5" s="100"/>
      <c r="B5" s="100"/>
      <c r="C5" s="100"/>
      <c r="D5" s="100"/>
      <c r="E5" s="100"/>
      <c r="F5" s="100"/>
      <c r="G5" s="100"/>
      <c r="H5" s="100"/>
      <c r="I5" s="126"/>
      <c r="J5" s="112"/>
      <c r="K5" s="112"/>
      <c r="L5" s="371"/>
      <c r="M5" s="371"/>
      <c r="N5" s="638"/>
      <c r="O5" s="638"/>
      <c r="P5" s="638"/>
      <c r="Q5" s="638"/>
      <c r="R5" s="638"/>
    </row>
    <row r="6" spans="1:18" ht="7.5" customHeight="1" x14ac:dyDescent="0.25">
      <c r="A6" s="100"/>
      <c r="B6" s="108"/>
      <c r="C6" s="100"/>
      <c r="D6" s="100"/>
      <c r="E6" s="105"/>
      <c r="F6" s="100"/>
      <c r="G6" s="100"/>
      <c r="H6" s="100"/>
      <c r="I6" s="100"/>
      <c r="J6" s="100"/>
      <c r="K6" s="100"/>
      <c r="L6" s="371"/>
      <c r="M6" s="371"/>
      <c r="N6" s="371"/>
      <c r="O6" s="638"/>
      <c r="P6" s="371"/>
      <c r="Q6" s="371"/>
      <c r="R6" s="371"/>
    </row>
    <row r="7" spans="1:18" ht="15" customHeight="1" x14ac:dyDescent="0.25">
      <c r="A7" s="100"/>
      <c r="B7" s="148"/>
      <c r="C7" s="472" t="s">
        <v>114</v>
      </c>
      <c r="D7" s="329"/>
      <c r="E7" s="329" t="s">
        <v>532</v>
      </c>
      <c r="F7" s="100"/>
      <c r="G7" s="329"/>
      <c r="H7" s="107" t="s">
        <v>94</v>
      </c>
      <c r="I7" s="100"/>
      <c r="J7" s="113"/>
      <c r="K7" s="100"/>
      <c r="L7" s="723"/>
      <c r="M7" s="639"/>
      <c r="N7" s="639"/>
      <c r="O7" s="638"/>
      <c r="P7" s="371"/>
    </row>
    <row r="8" spans="1:18" s="473" customFormat="1" ht="13.5" customHeight="1" x14ac:dyDescent="0.25">
      <c r="A8" s="329"/>
      <c r="B8" s="148"/>
      <c r="C8" s="329"/>
      <c r="D8" s="329"/>
      <c r="E8" s="329"/>
      <c r="F8" s="329"/>
      <c r="G8" s="107"/>
      <c r="H8" s="107"/>
      <c r="I8" s="329"/>
      <c r="J8" s="329"/>
      <c r="K8" s="329"/>
      <c r="L8" s="723"/>
      <c r="M8" s="640"/>
      <c r="N8" s="640"/>
      <c r="O8" s="638"/>
      <c r="P8" s="371"/>
    </row>
    <row r="9" spans="1:18" ht="10.5" customHeight="1" x14ac:dyDescent="0.25">
      <c r="A9" s="100"/>
      <c r="B9" s="109"/>
      <c r="C9" s="100"/>
      <c r="D9" s="100"/>
      <c r="E9" s="105"/>
      <c r="F9" s="100"/>
      <c r="G9" s="100"/>
      <c r="H9" s="329"/>
      <c r="I9" s="100"/>
      <c r="J9" s="100"/>
      <c r="K9" s="100"/>
      <c r="L9" s="724"/>
      <c r="M9" s="640"/>
      <c r="N9" s="640"/>
      <c r="O9" s="638"/>
      <c r="P9" s="371"/>
    </row>
    <row r="10" spans="1:18" s="122" customFormat="1" ht="14.45" customHeight="1" x14ac:dyDescent="0.25">
      <c r="A10" s="126"/>
      <c r="B10" s="126"/>
      <c r="C10" s="106" t="s">
        <v>463</v>
      </c>
      <c r="D10" s="126"/>
      <c r="E10" s="192" t="s">
        <v>144</v>
      </c>
      <c r="F10" s="126"/>
      <c r="G10" s="126"/>
      <c r="H10" s="107" t="s">
        <v>94</v>
      </c>
      <c r="I10" s="126"/>
      <c r="J10" s="126"/>
      <c r="K10" s="126"/>
      <c r="L10" s="640"/>
      <c r="M10" s="640"/>
      <c r="N10" s="640"/>
      <c r="O10" s="638"/>
      <c r="P10" s="371"/>
    </row>
    <row r="11" spans="1:18" s="473" customFormat="1" ht="13.5" customHeight="1" x14ac:dyDescent="0.25">
      <c r="A11" s="329"/>
      <c r="B11" s="329"/>
      <c r="C11" s="329"/>
      <c r="D11" s="329"/>
      <c r="E11" s="192"/>
      <c r="F11" s="329"/>
      <c r="G11" s="329"/>
      <c r="H11" s="107"/>
      <c r="I11" s="329"/>
      <c r="J11" s="329"/>
      <c r="K11" s="329"/>
      <c r="L11" s="1068"/>
      <c r="M11" s="1068"/>
      <c r="N11" s="1068"/>
      <c r="O11" s="638"/>
      <c r="P11" s="371"/>
    </row>
    <row r="12" spans="1:18" ht="11.25" customHeight="1" x14ac:dyDescent="0.25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68"/>
      <c r="M12" s="1068"/>
      <c r="N12" s="1068"/>
      <c r="O12" s="371"/>
      <c r="P12" s="371"/>
    </row>
    <row r="13" spans="1:18" x14ac:dyDescent="0.25">
      <c r="A13" s="126"/>
      <c r="B13" s="126"/>
      <c r="C13" s="246" t="s">
        <v>462</v>
      </c>
      <c r="D13" s="126"/>
      <c r="E13" s="947" t="s">
        <v>1256</v>
      </c>
      <c r="F13" s="126"/>
      <c r="G13" s="126"/>
      <c r="H13" s="107" t="s">
        <v>94</v>
      </c>
      <c r="I13" s="126"/>
      <c r="J13" s="126"/>
      <c r="K13" s="126"/>
      <c r="L13" s="1068"/>
      <c r="M13" s="1068"/>
      <c r="N13" s="1068"/>
      <c r="O13" s="371"/>
      <c r="P13" s="371"/>
    </row>
    <row r="14" spans="1:18" s="473" customFormat="1" ht="12.75" customHeight="1" x14ac:dyDescent="0.25">
      <c r="A14" s="329"/>
      <c r="B14" s="329"/>
      <c r="C14" s="329"/>
      <c r="D14" s="329"/>
      <c r="E14" s="191"/>
      <c r="F14" s="329"/>
      <c r="G14" s="329"/>
      <c r="H14" s="107"/>
      <c r="I14" s="329"/>
      <c r="J14" s="329"/>
      <c r="K14" s="329"/>
      <c r="L14" s="1068"/>
      <c r="M14" s="1068"/>
      <c r="N14" s="1068"/>
      <c r="O14" s="371"/>
      <c r="P14" s="371"/>
    </row>
    <row r="15" spans="1:18" s="877" customFormat="1" ht="9.75" customHeight="1" x14ac:dyDescent="0.25">
      <c r="A15" s="497"/>
      <c r="B15" s="497"/>
      <c r="C15" s="497"/>
      <c r="D15" s="497"/>
      <c r="E15" s="191"/>
      <c r="F15" s="497"/>
      <c r="G15" s="497"/>
      <c r="H15" s="107"/>
      <c r="I15" s="497"/>
      <c r="J15" s="497"/>
      <c r="K15" s="497"/>
      <c r="L15" s="875"/>
      <c r="M15" s="875"/>
      <c r="N15" s="875"/>
      <c r="O15" s="722"/>
      <c r="P15" s="722"/>
    </row>
    <row r="16" spans="1:18" s="877" customFormat="1" ht="15.75" customHeight="1" x14ac:dyDescent="0.25">
      <c r="A16" s="497"/>
      <c r="B16" s="497"/>
      <c r="C16" s="246" t="s">
        <v>1252</v>
      </c>
      <c r="D16" s="497"/>
      <c r="E16" s="191" t="s">
        <v>1257</v>
      </c>
      <c r="F16" s="497"/>
      <c r="G16" s="497"/>
      <c r="H16" s="107" t="s">
        <v>94</v>
      </c>
      <c r="I16" s="497"/>
      <c r="J16" s="497"/>
      <c r="K16" s="497"/>
      <c r="L16" s="875"/>
      <c r="M16" s="875"/>
      <c r="N16" s="875"/>
      <c r="O16" s="722"/>
      <c r="P16" s="722"/>
    </row>
    <row r="17" spans="1:17" s="877" customFormat="1" ht="12" customHeight="1" x14ac:dyDescent="0.25">
      <c r="A17" s="497"/>
      <c r="B17" s="497"/>
      <c r="C17" s="497"/>
      <c r="D17" s="497"/>
      <c r="E17" s="191"/>
      <c r="F17" s="497"/>
      <c r="G17" s="497"/>
      <c r="H17" s="107"/>
      <c r="I17" s="497"/>
      <c r="J17" s="497"/>
      <c r="K17" s="497"/>
      <c r="L17" s="875"/>
      <c r="M17" s="875"/>
      <c r="N17" s="875"/>
      <c r="O17" s="722"/>
      <c r="P17" s="722"/>
    </row>
    <row r="18" spans="1:17" s="216" customFormat="1" ht="9.75" customHeight="1" x14ac:dyDescent="0.25">
      <c r="A18" s="126"/>
      <c r="B18" s="126"/>
      <c r="C18" s="497"/>
      <c r="D18" s="497"/>
      <c r="E18" s="191"/>
      <c r="F18" s="497"/>
      <c r="G18" s="497"/>
      <c r="H18" s="107"/>
      <c r="I18" s="497"/>
      <c r="J18" s="497"/>
      <c r="K18" s="126"/>
      <c r="L18" s="371"/>
      <c r="M18" s="371"/>
      <c r="N18" s="371"/>
      <c r="O18" s="371"/>
      <c r="P18" s="371"/>
    </row>
    <row r="19" spans="1:17" s="216" customFormat="1" ht="15.75" x14ac:dyDescent="0.25">
      <c r="A19" s="126"/>
      <c r="B19" s="126"/>
      <c r="C19" s="246" t="s">
        <v>893</v>
      </c>
      <c r="D19" s="225"/>
      <c r="E19" s="262" t="s">
        <v>1253</v>
      </c>
      <c r="F19" s="126"/>
      <c r="G19" s="126"/>
      <c r="H19" s="107" t="s">
        <v>94</v>
      </c>
      <c r="I19" s="126"/>
      <c r="J19" s="126"/>
      <c r="K19" s="126"/>
      <c r="L19" s="1066"/>
      <c r="M19" s="1067"/>
      <c r="N19" s="1067"/>
      <c r="O19" s="371"/>
      <c r="P19" s="371"/>
    </row>
    <row r="20" spans="1:17" s="473" customFormat="1" ht="13.5" customHeight="1" x14ac:dyDescent="0.25">
      <c r="A20" s="329"/>
      <c r="B20" s="329"/>
      <c r="C20" s="225"/>
      <c r="D20" s="225"/>
      <c r="E20" s="262"/>
      <c r="F20" s="329"/>
      <c r="G20" s="329"/>
      <c r="H20" s="107"/>
      <c r="I20" s="329"/>
      <c r="J20" s="329"/>
      <c r="K20" s="329"/>
      <c r="L20" s="371"/>
      <c r="M20" s="371"/>
      <c r="N20" s="371"/>
      <c r="O20" s="371"/>
      <c r="P20" s="371"/>
    </row>
    <row r="21" spans="1:17" s="664" customFormat="1" ht="9.75" customHeight="1" x14ac:dyDescent="0.25">
      <c r="A21" s="497"/>
      <c r="B21" s="497"/>
      <c r="C21" s="225"/>
      <c r="D21" s="225"/>
      <c r="E21" s="225"/>
      <c r="F21" s="497"/>
      <c r="G21" s="497"/>
      <c r="H21" s="497"/>
      <c r="I21" s="497"/>
      <c r="J21" s="497"/>
      <c r="K21" s="497"/>
      <c r="L21" s="371"/>
      <c r="M21" s="371"/>
      <c r="N21" s="371"/>
      <c r="O21" s="371"/>
      <c r="P21" s="371"/>
    </row>
    <row r="22" spans="1:17" s="664" customFormat="1" x14ac:dyDescent="0.25">
      <c r="A22" s="497"/>
      <c r="B22" s="497"/>
      <c r="C22" s="246" t="s">
        <v>978</v>
      </c>
      <c r="D22" s="225"/>
      <c r="E22" s="705" t="s">
        <v>979</v>
      </c>
      <c r="F22" s="497"/>
      <c r="G22" s="497"/>
      <c r="H22" s="107" t="s">
        <v>94</v>
      </c>
      <c r="I22" s="497"/>
      <c r="J22" s="497"/>
      <c r="K22" s="497"/>
      <c r="L22" s="371"/>
      <c r="M22" s="371"/>
      <c r="N22" s="371"/>
      <c r="O22" s="371"/>
      <c r="P22" s="371"/>
    </row>
    <row r="23" spans="1:17" s="664" customFormat="1" ht="13.5" customHeight="1" x14ac:dyDescent="0.25">
      <c r="A23" s="497"/>
      <c r="B23" s="497"/>
      <c r="C23" s="225"/>
      <c r="D23" s="225"/>
      <c r="E23" s="262"/>
      <c r="F23" s="497"/>
      <c r="G23" s="497"/>
      <c r="H23" s="107"/>
      <c r="I23" s="497"/>
      <c r="J23" s="497"/>
      <c r="K23" s="497"/>
      <c r="L23" s="371"/>
      <c r="M23" s="371"/>
      <c r="N23" s="371"/>
      <c r="O23" s="371"/>
      <c r="P23" s="371"/>
    </row>
    <row r="24" spans="1:17" s="488" customFormat="1" ht="11.25" customHeight="1" x14ac:dyDescent="0.25">
      <c r="A24" s="497"/>
      <c r="B24" s="497"/>
      <c r="C24" s="225"/>
      <c r="D24" s="225"/>
      <c r="E24" s="262"/>
      <c r="F24" s="497"/>
      <c r="G24" s="497"/>
      <c r="H24" s="107"/>
      <c r="I24" s="497"/>
      <c r="J24" s="497"/>
      <c r="K24" s="497"/>
      <c r="L24" s="371"/>
      <c r="M24" s="371"/>
      <c r="N24" s="371"/>
      <c r="O24" s="371"/>
      <c r="P24" s="371"/>
    </row>
    <row r="25" spans="1:17" s="488" customFormat="1" ht="15" customHeight="1" x14ac:dyDescent="0.25">
      <c r="A25" s="329"/>
      <c r="B25" s="329"/>
      <c r="C25" s="246" t="s">
        <v>534</v>
      </c>
      <c r="D25" s="225"/>
      <c r="E25" s="262" t="s">
        <v>737</v>
      </c>
      <c r="F25" s="329"/>
      <c r="G25" s="329"/>
      <c r="H25" s="107" t="s">
        <v>94</v>
      </c>
      <c r="I25" s="329"/>
      <c r="J25" s="329"/>
      <c r="K25" s="329"/>
      <c r="L25" s="371"/>
      <c r="M25" s="371"/>
      <c r="N25" s="371"/>
      <c r="O25" s="371"/>
      <c r="P25" s="371"/>
    </row>
    <row r="26" spans="1:17" s="488" customFormat="1" ht="13.5" customHeight="1" x14ac:dyDescent="0.25">
      <c r="A26" s="329"/>
      <c r="B26" s="329"/>
      <c r="C26" s="329"/>
      <c r="D26" s="329"/>
      <c r="E26" s="329"/>
      <c r="F26" s="329"/>
      <c r="G26" s="329"/>
      <c r="H26" s="107"/>
      <c r="I26" s="329"/>
      <c r="J26" s="329"/>
      <c r="K26" s="329"/>
      <c r="L26" s="371"/>
      <c r="M26" s="371"/>
      <c r="N26" s="371"/>
      <c r="O26" s="371"/>
      <c r="P26" s="371"/>
    </row>
    <row r="27" spans="1:17" s="539" customFormat="1" ht="9" customHeight="1" x14ac:dyDescent="0.25">
      <c r="A27" s="497"/>
      <c r="B27" s="497"/>
      <c r="C27" s="497"/>
      <c r="D27" s="497"/>
      <c r="E27" s="497"/>
      <c r="F27" s="497"/>
      <c r="G27" s="497"/>
      <c r="H27" s="107"/>
      <c r="I27" s="497"/>
      <c r="J27" s="497"/>
      <c r="K27" s="497"/>
      <c r="L27" s="371"/>
      <c r="M27" s="371"/>
      <c r="N27" s="371"/>
      <c r="O27" s="371"/>
      <c r="P27" s="371"/>
    </row>
    <row r="28" spans="1:17" s="539" customFormat="1" ht="15" customHeight="1" x14ac:dyDescent="0.25">
      <c r="A28" s="497"/>
      <c r="B28" s="497"/>
      <c r="C28" s="246" t="s">
        <v>758</v>
      </c>
      <c r="D28" s="225"/>
      <c r="E28" s="262" t="s">
        <v>1255</v>
      </c>
      <c r="F28" s="497"/>
      <c r="G28" s="497"/>
      <c r="H28" s="107" t="s">
        <v>94</v>
      </c>
      <c r="I28" s="497"/>
      <c r="J28" s="497"/>
      <c r="K28" s="497"/>
      <c r="L28" s="371"/>
      <c r="M28" s="371"/>
      <c r="N28" s="371"/>
      <c r="O28" s="371"/>
      <c r="P28" s="371"/>
    </row>
    <row r="29" spans="1:17" s="539" customFormat="1" ht="28.5" customHeight="1" x14ac:dyDescent="0.25">
      <c r="A29" s="497"/>
      <c r="B29" s="497"/>
      <c r="C29" s="497"/>
      <c r="D29" s="497"/>
      <c r="E29" s="497"/>
      <c r="F29" s="497"/>
      <c r="G29" s="497"/>
      <c r="H29" s="107"/>
      <c r="I29" s="497"/>
      <c r="J29" s="497"/>
      <c r="K29" s="497"/>
      <c r="L29" s="371"/>
      <c r="M29" s="371"/>
      <c r="N29" s="371"/>
      <c r="O29" s="371"/>
      <c r="P29" s="371"/>
    </row>
    <row r="30" spans="1:17" ht="15" customHeight="1" x14ac:dyDescent="0.25">
      <c r="A30" s="126"/>
      <c r="B30" s="126"/>
      <c r="C30" s="1069" t="s">
        <v>504</v>
      </c>
      <c r="D30" s="1070"/>
      <c r="E30" s="1070"/>
      <c r="F30" s="1070"/>
      <c r="G30" s="1070"/>
      <c r="H30" s="1070"/>
      <c r="I30" s="1070"/>
      <c r="J30" s="1071"/>
      <c r="K30" s="126"/>
      <c r="L30" s="371"/>
      <c r="M30" s="371"/>
      <c r="N30" s="371"/>
      <c r="O30" s="371"/>
      <c r="P30" s="371"/>
      <c r="Q30" s="366"/>
    </row>
    <row r="31" spans="1:17" x14ac:dyDescent="0.25">
      <c r="A31" s="126"/>
      <c r="B31" s="126"/>
      <c r="C31" s="1072" t="s">
        <v>505</v>
      </c>
      <c r="D31" s="1073"/>
      <c r="E31" s="1073"/>
      <c r="F31" s="1073"/>
      <c r="G31" s="1073"/>
      <c r="H31" s="1073"/>
      <c r="I31" s="1073"/>
      <c r="J31" s="1074"/>
      <c r="K31" s="126"/>
      <c r="L31" s="371"/>
      <c r="M31" s="371"/>
      <c r="N31" s="371"/>
      <c r="O31" s="371"/>
      <c r="P31" s="371"/>
      <c r="Q31" s="366"/>
    </row>
    <row r="32" spans="1:17" x14ac:dyDescent="0.25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371"/>
      <c r="M32" s="371"/>
      <c r="N32" s="371"/>
      <c r="O32" s="371"/>
      <c r="P32" s="371"/>
      <c r="Q32" s="366"/>
    </row>
    <row r="33" spans="12:16" x14ac:dyDescent="0.25">
      <c r="L33" s="371"/>
      <c r="M33" s="371"/>
      <c r="N33" s="371"/>
      <c r="O33" s="371"/>
      <c r="P33" s="371"/>
    </row>
  </sheetData>
  <protectedRanges>
    <protectedRange sqref="B7:B9" name="Plage1"/>
  </protectedRanges>
  <mergeCells count="7">
    <mergeCell ref="L19:N19"/>
    <mergeCell ref="L11:N14"/>
    <mergeCell ref="C30:J30"/>
    <mergeCell ref="C31:J31"/>
    <mergeCell ref="B2:J2"/>
    <mergeCell ref="B3:J3"/>
    <mergeCell ref="B4:J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P43"/>
  <sheetViews>
    <sheetView showGridLines="0" showRowColHeaders="0" zoomScale="120" zoomScaleNormal="120" workbookViewId="0"/>
  </sheetViews>
  <sheetFormatPr defaultColWidth="11.42578125" defaultRowHeight="15" outlineLevelRow="1" x14ac:dyDescent="0.25"/>
  <cols>
    <col min="1" max="1" width="3.140625" customWidth="1"/>
    <col min="2" max="2" width="41.140625" customWidth="1"/>
    <col min="3" max="3" width="7" customWidth="1"/>
    <col min="4" max="4" width="4.85546875" customWidth="1"/>
    <col min="5" max="5" width="5.85546875" customWidth="1"/>
    <col min="6" max="6" width="4.140625" customWidth="1"/>
    <col min="7" max="7" width="2" customWidth="1"/>
    <col min="8" max="8" width="1.85546875" customWidth="1"/>
    <col min="9" max="9" width="9" customWidth="1"/>
    <col min="10" max="10" width="8.7109375" customWidth="1"/>
    <col min="11" max="11" width="7.85546875" customWidth="1"/>
    <col min="12" max="12" width="3.5703125" customWidth="1"/>
    <col min="13" max="13" width="17.42578125" customWidth="1"/>
    <col min="14" max="14" width="10" customWidth="1"/>
    <col min="15" max="15" width="9.85546875" customWidth="1"/>
    <col min="16" max="16" width="2.7109375" customWidth="1"/>
  </cols>
  <sheetData>
    <row r="1" spans="1:16" ht="10.5" customHeight="1" x14ac:dyDescent="0.25">
      <c r="A1" s="497"/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</row>
    <row r="2" spans="1:16" ht="53.25" customHeight="1" thickBot="1" x14ac:dyDescent="0.3">
      <c r="A2" s="497"/>
      <c r="B2" s="1080" t="s">
        <v>1275</v>
      </c>
      <c r="C2" s="1080"/>
      <c r="D2" s="1080"/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497"/>
    </row>
    <row r="3" spans="1:16" ht="28.5" customHeight="1" thickBot="1" x14ac:dyDescent="0.3">
      <c r="A3" s="497"/>
      <c r="B3" s="1076" t="s">
        <v>870</v>
      </c>
      <c r="C3" s="1077"/>
      <c r="D3" s="1077"/>
      <c r="E3" s="1077"/>
      <c r="F3" s="1077"/>
      <c r="G3" s="1077"/>
      <c r="H3" s="1077"/>
      <c r="I3" s="1077"/>
      <c r="J3" s="1077"/>
      <c r="K3" s="1077"/>
      <c r="L3" s="1077"/>
      <c r="M3" s="1077"/>
      <c r="N3" s="1077"/>
      <c r="O3" s="1078"/>
      <c r="P3" s="497"/>
    </row>
    <row r="4" spans="1:16" ht="12" customHeight="1" x14ac:dyDescent="0.25">
      <c r="A4" s="497"/>
      <c r="B4" s="265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497"/>
      <c r="N4" s="497"/>
      <c r="O4" s="497"/>
      <c r="P4" s="497"/>
    </row>
    <row r="5" spans="1:16" ht="27.75" x14ac:dyDescent="0.25">
      <c r="A5" s="497"/>
      <c r="B5" s="506"/>
      <c r="C5" s="1086" t="s">
        <v>1223</v>
      </c>
      <c r="D5" s="1086"/>
      <c r="E5" s="1086"/>
      <c r="F5" s="1086"/>
      <c r="G5" s="1086"/>
      <c r="H5" s="1086"/>
      <c r="I5" s="1086"/>
      <c r="J5" s="1086"/>
      <c r="K5" s="1086"/>
      <c r="L5" s="1086"/>
      <c r="M5" s="1086"/>
      <c r="N5" s="1086"/>
      <c r="O5" s="1087"/>
      <c r="P5" s="497"/>
    </row>
    <row r="6" spans="1:16" ht="12" customHeight="1" x14ac:dyDescent="0.25">
      <c r="A6" s="497"/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</row>
    <row r="7" spans="1:16" ht="50.25" customHeight="1" x14ac:dyDescent="0.25">
      <c r="A7" s="1088" t="s">
        <v>1250</v>
      </c>
      <c r="B7" s="1088"/>
      <c r="C7" s="1088"/>
      <c r="D7" s="1088"/>
      <c r="E7" s="1088"/>
      <c r="F7" s="1088"/>
      <c r="G7" s="1088"/>
      <c r="H7" s="1088"/>
      <c r="I7" s="1088"/>
      <c r="J7" s="1088"/>
      <c r="K7" s="1088"/>
      <c r="L7" s="1088"/>
      <c r="M7" s="1088"/>
      <c r="N7" s="1088"/>
      <c r="O7" s="1088"/>
      <c r="P7" s="497"/>
    </row>
    <row r="8" spans="1:16" ht="12" customHeight="1" x14ac:dyDescent="0.25">
      <c r="A8" s="497"/>
      <c r="B8" s="497"/>
      <c r="C8" s="497"/>
      <c r="D8" s="890"/>
      <c r="E8" s="549"/>
      <c r="F8" s="549"/>
      <c r="G8" s="549"/>
      <c r="H8" s="497"/>
      <c r="I8" s="501"/>
      <c r="J8" s="891"/>
      <c r="K8" s="891"/>
      <c r="L8" s="497"/>
      <c r="M8" s="497"/>
      <c r="N8" s="497"/>
      <c r="O8" s="497"/>
      <c r="P8" s="497"/>
    </row>
    <row r="9" spans="1:16" ht="32.25" customHeight="1" x14ac:dyDescent="0.25">
      <c r="A9" s="497"/>
      <c r="B9" s="1089" t="s">
        <v>1251</v>
      </c>
      <c r="C9" s="1090"/>
      <c r="D9" s="1093" t="s">
        <v>1225</v>
      </c>
      <c r="E9" s="1093"/>
      <c r="F9" s="1094"/>
      <c r="G9" s="549"/>
      <c r="H9" s="497"/>
      <c r="I9" s="1097" t="s">
        <v>1226</v>
      </c>
      <c r="J9" s="1098"/>
      <c r="K9" s="1099"/>
      <c r="L9" s="497"/>
      <c r="M9" s="1089" t="s">
        <v>1266</v>
      </c>
      <c r="N9" s="1090"/>
      <c r="O9" s="1091"/>
      <c r="P9" s="497"/>
    </row>
    <row r="10" spans="1:16" ht="24" customHeight="1" x14ac:dyDescent="0.25">
      <c r="A10" s="497"/>
      <c r="B10" s="1100" t="s">
        <v>1224</v>
      </c>
      <c r="C10" s="1101"/>
      <c r="D10" s="1095"/>
      <c r="E10" s="1095"/>
      <c r="F10" s="1096"/>
      <c r="G10" s="549"/>
      <c r="H10" s="497"/>
      <c r="I10" s="892" t="s">
        <v>87</v>
      </c>
      <c r="J10" s="893" t="str">
        <f>IF(D12="","",100-D12)</f>
        <v/>
      </c>
      <c r="K10" s="894" t="s">
        <v>115</v>
      </c>
      <c r="L10" s="497"/>
      <c r="M10" s="527"/>
      <c r="N10" s="1084" t="s">
        <v>1225</v>
      </c>
      <c r="O10" s="1085"/>
      <c r="P10" s="16"/>
    </row>
    <row r="11" spans="1:16" ht="11.25" customHeight="1" x14ac:dyDescent="0.25">
      <c r="A11" s="497"/>
      <c r="B11" s="527"/>
      <c r="C11" s="898"/>
      <c r="D11" s="898"/>
      <c r="E11" s="608"/>
      <c r="F11" s="894"/>
      <c r="G11" s="681"/>
      <c r="H11" s="497"/>
      <c r="I11" s="895"/>
      <c r="J11" s="893"/>
      <c r="K11" s="894"/>
      <c r="L11" s="497"/>
      <c r="M11" s="527"/>
      <c r="N11" s="1084"/>
      <c r="O11" s="1085"/>
      <c r="P11" s="16"/>
    </row>
    <row r="12" spans="1:16" ht="24" customHeight="1" x14ac:dyDescent="0.25">
      <c r="A12" s="497"/>
      <c r="B12" s="896" t="s">
        <v>1227</v>
      </c>
      <c r="C12" s="526"/>
      <c r="D12" s="1092"/>
      <c r="E12" s="1092"/>
      <c r="F12" s="897" t="s">
        <v>115</v>
      </c>
      <c r="G12" s="687"/>
      <c r="H12" s="497"/>
      <c r="I12" s="923" t="s">
        <v>0</v>
      </c>
      <c r="J12" s="924" t="str">
        <f>IF(D12="","",((118+(0.256*D14)+(1.58*D16)-(1.02*D18)-(2.07*I27))*(J10/10000))*(C36/1000))</f>
        <v/>
      </c>
      <c r="K12" s="925"/>
      <c r="L12" s="497"/>
      <c r="M12" s="919" t="s">
        <v>1245</v>
      </c>
      <c r="N12" s="932"/>
      <c r="O12" s="897" t="s">
        <v>115</v>
      </c>
      <c r="P12" s="16"/>
    </row>
    <row r="13" spans="1:16" ht="12" customHeight="1" x14ac:dyDescent="0.35">
      <c r="A13" s="497"/>
      <c r="B13" s="896"/>
      <c r="C13" s="898"/>
      <c r="D13" s="798"/>
      <c r="E13" s="899"/>
      <c r="F13" s="500"/>
      <c r="G13" s="687"/>
      <c r="H13" s="497"/>
      <c r="I13" s="892"/>
      <c r="J13" s="900"/>
      <c r="K13" s="901"/>
      <c r="L13" s="497"/>
      <c r="M13" s="920"/>
      <c r="N13" s="526"/>
      <c r="O13" s="897"/>
      <c r="P13" s="497"/>
    </row>
    <row r="14" spans="1:16" ht="24" customHeight="1" x14ac:dyDescent="0.35">
      <c r="A14" s="497"/>
      <c r="B14" s="896" t="s">
        <v>1228</v>
      </c>
      <c r="C14" s="898" t="s">
        <v>1229</v>
      </c>
      <c r="D14" s="1092"/>
      <c r="E14" s="1092"/>
      <c r="F14" s="902" t="s">
        <v>115</v>
      </c>
      <c r="G14" s="687"/>
      <c r="H14" s="497"/>
      <c r="I14" s="892" t="s">
        <v>254</v>
      </c>
      <c r="J14" s="903" t="str">
        <f>IF(D12="","",((120+(0.214*D14)+(1.62*D16)-(1.19*D18)-(2.64*I27))*(J10/10000))*(C36/1000))</f>
        <v/>
      </c>
      <c r="K14" s="901"/>
      <c r="L14" s="497"/>
      <c r="M14" s="920" t="s">
        <v>1246</v>
      </c>
      <c r="N14" s="932"/>
      <c r="O14" s="894" t="s">
        <v>115</v>
      </c>
      <c r="P14" s="497"/>
    </row>
    <row r="15" spans="1:16" ht="12" customHeight="1" x14ac:dyDescent="0.3">
      <c r="A15" s="497"/>
      <c r="B15" s="904"/>
      <c r="C15" s="905"/>
      <c r="D15" s="105"/>
      <c r="E15" s="105"/>
      <c r="F15" s="902"/>
      <c r="G15" s="687"/>
      <c r="H15" s="497"/>
      <c r="I15" s="892"/>
      <c r="J15" s="906"/>
      <c r="K15" s="901"/>
      <c r="L15" s="497"/>
      <c r="M15" s="527"/>
      <c r="N15" s="136"/>
      <c r="O15" s="921"/>
      <c r="P15" s="497"/>
    </row>
    <row r="16" spans="1:16" ht="24" customHeight="1" x14ac:dyDescent="0.3">
      <c r="A16" s="497"/>
      <c r="B16" s="896" t="s">
        <v>1230</v>
      </c>
      <c r="C16" s="898" t="s">
        <v>1231</v>
      </c>
      <c r="D16" s="1092"/>
      <c r="E16" s="1092"/>
      <c r="F16" s="902" t="s">
        <v>115</v>
      </c>
      <c r="G16" s="687"/>
      <c r="H16" s="497"/>
      <c r="I16" s="892" t="s">
        <v>1232</v>
      </c>
      <c r="J16" s="907" t="str">
        <f>IF(D12="","",C30*(J10/100))</f>
        <v/>
      </c>
      <c r="K16" s="894" t="s">
        <v>1233</v>
      </c>
      <c r="L16" s="497"/>
      <c r="M16" s="1081" t="s">
        <v>1247</v>
      </c>
      <c r="N16" s="1082"/>
      <c r="O16" s="1083"/>
      <c r="P16" s="497"/>
    </row>
    <row r="17" spans="1:16" ht="12" customHeight="1" x14ac:dyDescent="0.3">
      <c r="A17" s="497"/>
      <c r="B17" s="908"/>
      <c r="C17" s="898"/>
      <c r="D17" s="798"/>
      <c r="E17" s="899"/>
      <c r="F17" s="902"/>
      <c r="G17" s="687"/>
      <c r="H17" s="497"/>
      <c r="I17" s="892"/>
      <c r="J17" s="906"/>
      <c r="K17" s="901"/>
      <c r="L17" s="497"/>
      <c r="M17" s="527"/>
      <c r="N17" s="526"/>
      <c r="O17" s="500"/>
      <c r="P17" s="497"/>
    </row>
    <row r="18" spans="1:16" ht="24" customHeight="1" x14ac:dyDescent="0.55000000000000004">
      <c r="A18" s="497"/>
      <c r="B18" s="896" t="s">
        <v>1234</v>
      </c>
      <c r="C18" s="898" t="s">
        <v>1235</v>
      </c>
      <c r="D18" s="1092"/>
      <c r="E18" s="1092"/>
      <c r="F18" s="902" t="s">
        <v>115</v>
      </c>
      <c r="G18" s="687"/>
      <c r="H18" s="497"/>
      <c r="I18" s="923" t="s">
        <v>82</v>
      </c>
      <c r="J18" s="926" t="str">
        <f>IF(D12="","",C31*(J10/100))</f>
        <v/>
      </c>
      <c r="K18" s="927" t="s">
        <v>1233</v>
      </c>
      <c r="L18" s="497"/>
      <c r="M18" s="928" t="s">
        <v>1248</v>
      </c>
      <c r="N18" s="926" t="str">
        <f>IF(N12="","",N12*6.5)</f>
        <v/>
      </c>
      <c r="O18" s="927" t="s">
        <v>1244</v>
      </c>
      <c r="P18" s="497"/>
    </row>
    <row r="19" spans="1:16" ht="12" customHeight="1" x14ac:dyDescent="0.4">
      <c r="A19" s="497"/>
      <c r="B19" s="527"/>
      <c r="C19" s="905"/>
      <c r="D19" s="105"/>
      <c r="E19" s="899"/>
      <c r="F19" s="902"/>
      <c r="G19" s="687"/>
      <c r="H19" s="497"/>
      <c r="I19" s="876"/>
      <c r="J19" s="909"/>
      <c r="K19" s="910"/>
      <c r="L19" s="497"/>
      <c r="M19" s="922"/>
      <c r="N19" s="907"/>
      <c r="O19" s="894"/>
      <c r="P19" s="497"/>
    </row>
    <row r="20" spans="1:16" ht="24" customHeight="1" x14ac:dyDescent="0.55000000000000004">
      <c r="A20" s="497"/>
      <c r="B20" s="896" t="s">
        <v>1236</v>
      </c>
      <c r="C20" s="898" t="s">
        <v>1237</v>
      </c>
      <c r="D20" s="1092"/>
      <c r="E20" s="1092"/>
      <c r="F20" s="902" t="s">
        <v>115</v>
      </c>
      <c r="G20" s="687"/>
      <c r="H20" s="497"/>
      <c r="I20" s="923" t="s">
        <v>83</v>
      </c>
      <c r="J20" s="926" t="str">
        <f>IF(D12="","",C32*(J10/100))</f>
        <v/>
      </c>
      <c r="K20" s="927" t="s">
        <v>1233</v>
      </c>
      <c r="L20" s="497"/>
      <c r="M20" s="928" t="s">
        <v>1249</v>
      </c>
      <c r="N20" s="926" t="str">
        <f>IF(N14="","",N14*4)</f>
        <v/>
      </c>
      <c r="O20" s="927" t="s">
        <v>1244</v>
      </c>
      <c r="P20" s="497"/>
    </row>
    <row r="21" spans="1:16" ht="12" customHeight="1" x14ac:dyDescent="0.35">
      <c r="A21" s="497"/>
      <c r="B21" s="911"/>
      <c r="C21" s="912"/>
      <c r="D21" s="913"/>
      <c r="E21" s="913"/>
      <c r="F21" s="914"/>
      <c r="G21" s="687"/>
      <c r="H21" s="497"/>
      <c r="I21" s="504"/>
      <c r="J21" s="915"/>
      <c r="K21" s="916"/>
      <c r="L21" s="497"/>
      <c r="M21" s="504"/>
      <c r="N21" s="501"/>
      <c r="O21" s="502"/>
      <c r="P21" s="497"/>
    </row>
    <row r="22" spans="1:16" ht="12" customHeight="1" x14ac:dyDescent="0.35">
      <c r="A22" s="497"/>
      <c r="B22" s="497"/>
      <c r="C22" s="497"/>
      <c r="D22" s="497"/>
      <c r="E22" s="497"/>
      <c r="F22" s="497"/>
      <c r="G22" s="687"/>
      <c r="H22" s="497"/>
      <c r="I22" s="917"/>
      <c r="J22" s="918" t="str">
        <f>IF(D22="","",D22*0.7)</f>
        <v/>
      </c>
      <c r="K22" s="152" t="str">
        <f>IF(J22="","","g / kg brut")</f>
        <v/>
      </c>
      <c r="L22" s="497"/>
      <c r="M22" s="497"/>
      <c r="N22" s="497"/>
      <c r="O22" s="497"/>
      <c r="P22" s="497"/>
    </row>
    <row r="23" spans="1:16" x14ac:dyDescent="0.25">
      <c r="A23" s="877"/>
      <c r="B23" s="877"/>
      <c r="C23" s="877"/>
      <c r="D23" s="877"/>
      <c r="E23" s="877"/>
      <c r="F23" s="877"/>
      <c r="G23" s="877"/>
      <c r="H23" s="877"/>
      <c r="I23" s="877"/>
      <c r="J23" s="877"/>
      <c r="K23" s="877"/>
      <c r="L23" s="877"/>
    </row>
    <row r="24" spans="1:16" x14ac:dyDescent="0.25">
      <c r="A24" s="877"/>
      <c r="B24" s="877"/>
      <c r="C24" s="877"/>
      <c r="D24" s="877"/>
      <c r="E24" s="877"/>
      <c r="F24" s="877"/>
      <c r="G24" s="877"/>
      <c r="H24" s="877"/>
      <c r="I24" s="877"/>
      <c r="J24" s="877"/>
      <c r="K24" s="877"/>
      <c r="L24" s="877"/>
    </row>
    <row r="25" spans="1:16" hidden="1" outlineLevel="1" x14ac:dyDescent="0.25">
      <c r="A25" s="877"/>
      <c r="B25" s="877"/>
      <c r="C25" s="877"/>
      <c r="D25" s="877"/>
      <c r="E25" s="877"/>
      <c r="F25" s="877"/>
      <c r="G25" s="877"/>
      <c r="H25" s="877"/>
      <c r="I25" s="877"/>
      <c r="J25" s="877"/>
      <c r="K25" s="877"/>
      <c r="L25" s="877"/>
    </row>
    <row r="26" spans="1:16" hidden="1" outlineLevel="1" x14ac:dyDescent="0.25">
      <c r="A26" s="877"/>
      <c r="B26" s="877"/>
      <c r="C26" s="877"/>
      <c r="D26" s="877"/>
      <c r="E26" s="877"/>
      <c r="F26" s="877"/>
      <c r="G26" s="877"/>
      <c r="H26" s="877"/>
      <c r="I26" s="877"/>
      <c r="J26" s="877"/>
      <c r="K26" s="877"/>
      <c r="L26" s="877"/>
    </row>
    <row r="27" spans="1:16" hidden="1" outlineLevel="1" x14ac:dyDescent="0.25">
      <c r="A27" s="877"/>
      <c r="B27" s="929" t="s">
        <v>1238</v>
      </c>
      <c r="C27" s="930">
        <f>D14*10</f>
        <v>0</v>
      </c>
      <c r="D27" s="929"/>
      <c r="E27" s="929"/>
      <c r="F27" s="929"/>
      <c r="G27" s="929"/>
      <c r="H27" s="929"/>
      <c r="I27" s="929">
        <f>IF(D14&gt;25,6,IF(D14&gt;20,4,2))</f>
        <v>2</v>
      </c>
      <c r="J27" s="877"/>
      <c r="K27" s="877"/>
      <c r="L27" s="877"/>
    </row>
    <row r="28" spans="1:16" hidden="1" outlineLevel="1" x14ac:dyDescent="0.25">
      <c r="A28" s="877"/>
      <c r="B28" s="929" t="s">
        <v>1239</v>
      </c>
      <c r="C28" s="929">
        <v>34</v>
      </c>
      <c r="D28" s="929"/>
      <c r="E28" s="929"/>
      <c r="F28" s="929"/>
      <c r="G28" s="929"/>
      <c r="H28" s="929"/>
      <c r="I28" s="929"/>
      <c r="J28" s="877"/>
      <c r="K28" s="877"/>
      <c r="L28" s="877"/>
    </row>
    <row r="29" spans="1:16" hidden="1" outlineLevel="1" x14ac:dyDescent="0.25">
      <c r="A29" s="877"/>
      <c r="B29" s="929" t="s">
        <v>1240</v>
      </c>
      <c r="C29" s="930">
        <f>C27*(1-(C28/100))</f>
        <v>0</v>
      </c>
      <c r="D29" s="929"/>
      <c r="E29" s="929"/>
      <c r="F29" s="929"/>
      <c r="G29" s="929"/>
      <c r="H29" s="929"/>
      <c r="I29" s="929"/>
      <c r="J29" s="877"/>
      <c r="K29" s="877"/>
      <c r="L29" s="877"/>
    </row>
    <row r="30" spans="1:16" hidden="1" outlineLevel="1" x14ac:dyDescent="0.25">
      <c r="A30" s="877"/>
      <c r="B30" s="929" t="s">
        <v>1232</v>
      </c>
      <c r="C30" s="931">
        <f>(-0.211*C27)+(0.84*C29)</f>
        <v>0</v>
      </c>
      <c r="D30" s="929"/>
      <c r="E30" s="929"/>
      <c r="F30" s="929"/>
      <c r="G30" s="929"/>
      <c r="H30" s="929"/>
      <c r="I30" s="929"/>
      <c r="J30" s="877"/>
      <c r="K30" s="877"/>
      <c r="L30" s="877"/>
    </row>
    <row r="31" spans="1:16" hidden="1" outlineLevel="1" x14ac:dyDescent="0.25">
      <c r="A31" s="877"/>
      <c r="B31" s="929" t="s">
        <v>82</v>
      </c>
      <c r="C31" s="931">
        <f>(0.507*C27)+(0.278*C29)</f>
        <v>0</v>
      </c>
      <c r="D31" s="929"/>
      <c r="E31" s="929"/>
      <c r="F31" s="929"/>
      <c r="G31" s="929"/>
      <c r="H31" s="929"/>
      <c r="I31" s="929"/>
      <c r="J31" s="877"/>
      <c r="K31" s="877"/>
      <c r="L31" s="877"/>
    </row>
    <row r="32" spans="1:16" hidden="1" outlineLevel="1" x14ac:dyDescent="0.25">
      <c r="A32" s="877"/>
      <c r="B32" s="929" t="s">
        <v>83</v>
      </c>
      <c r="C32" s="931">
        <f>67.1-(0.22*C27)+(0.802*C29)</f>
        <v>67.099999999999994</v>
      </c>
      <c r="D32" s="929"/>
      <c r="E32" s="929"/>
      <c r="F32" s="929"/>
      <c r="G32" s="929"/>
      <c r="H32" s="929"/>
      <c r="I32" s="929"/>
      <c r="J32" s="877"/>
      <c r="K32" s="877"/>
      <c r="L32" s="877"/>
    </row>
    <row r="33" spans="1:12" hidden="1" outlineLevel="1" x14ac:dyDescent="0.25">
      <c r="A33" s="877"/>
      <c r="B33" s="929" t="s">
        <v>1231</v>
      </c>
      <c r="C33" s="931">
        <f>D16*10</f>
        <v>0</v>
      </c>
      <c r="D33" s="929"/>
      <c r="E33" s="929"/>
      <c r="F33" s="929"/>
      <c r="G33" s="929"/>
      <c r="H33" s="929"/>
      <c r="I33" s="929"/>
      <c r="J33" s="877"/>
      <c r="K33" s="877"/>
      <c r="L33" s="877"/>
    </row>
    <row r="34" spans="1:12" hidden="1" outlineLevel="1" x14ac:dyDescent="0.25">
      <c r="A34" s="877"/>
      <c r="B34" s="929" t="s">
        <v>1241</v>
      </c>
      <c r="C34" s="931">
        <f>D18*10</f>
        <v>0</v>
      </c>
      <c r="D34" s="929"/>
      <c r="E34" s="929"/>
      <c r="F34" s="929"/>
      <c r="G34" s="929"/>
      <c r="H34" s="929"/>
      <c r="I34" s="929"/>
      <c r="J34" s="877"/>
      <c r="K34" s="877"/>
      <c r="L34" s="877"/>
    </row>
    <row r="35" spans="1:12" hidden="1" outlineLevel="1" x14ac:dyDescent="0.25">
      <c r="A35" s="877"/>
      <c r="B35" s="929" t="s">
        <v>1237</v>
      </c>
      <c r="C35" s="931">
        <f>D20*10</f>
        <v>0</v>
      </c>
      <c r="D35" s="929"/>
      <c r="E35" s="929"/>
      <c r="F35" s="929"/>
      <c r="G35" s="929"/>
      <c r="H35" s="929"/>
      <c r="I35" s="929"/>
      <c r="J35" s="877"/>
      <c r="K35" s="877"/>
      <c r="L35" s="877"/>
    </row>
    <row r="36" spans="1:12" hidden="1" outlineLevel="1" x14ac:dyDescent="0.25">
      <c r="A36" s="877"/>
      <c r="B36" s="929" t="s">
        <v>1242</v>
      </c>
      <c r="C36" s="931">
        <f>1000-C35</f>
        <v>1000</v>
      </c>
      <c r="D36" s="929"/>
      <c r="E36" s="929"/>
      <c r="F36" s="929"/>
      <c r="G36" s="929"/>
      <c r="H36" s="929"/>
      <c r="I36" s="929"/>
      <c r="J36" s="877"/>
      <c r="K36" s="877"/>
      <c r="L36" s="877"/>
    </row>
    <row r="37" spans="1:12" hidden="1" outlineLevel="1" x14ac:dyDescent="0.25">
      <c r="A37" s="877"/>
      <c r="B37" s="929" t="s">
        <v>1243</v>
      </c>
      <c r="C37" s="929"/>
      <c r="D37" s="929"/>
      <c r="E37" s="929"/>
      <c r="F37" s="929"/>
      <c r="G37" s="929"/>
      <c r="H37" s="929"/>
      <c r="I37" s="929"/>
      <c r="J37" s="877"/>
      <c r="K37" s="877"/>
      <c r="L37" s="877"/>
    </row>
    <row r="38" spans="1:12" hidden="1" outlineLevel="1" x14ac:dyDescent="0.25">
      <c r="A38" s="877"/>
      <c r="B38" s="877"/>
      <c r="C38" s="877"/>
      <c r="D38" s="877"/>
      <c r="E38" s="877"/>
      <c r="F38" s="877"/>
      <c r="G38" s="877"/>
      <c r="H38" s="877"/>
      <c r="I38" s="877"/>
      <c r="J38" s="877"/>
      <c r="K38" s="877"/>
      <c r="L38" s="877"/>
    </row>
    <row r="39" spans="1:12" collapsed="1" x14ac:dyDescent="0.25">
      <c r="A39" s="877"/>
      <c r="B39" s="877"/>
      <c r="C39" s="877"/>
      <c r="D39" s="877"/>
      <c r="E39" s="877"/>
      <c r="F39" s="877"/>
      <c r="G39" s="877"/>
      <c r="H39" s="877"/>
      <c r="I39" s="877"/>
      <c r="J39" s="877"/>
      <c r="K39" s="877"/>
      <c r="L39" s="877"/>
    </row>
    <row r="40" spans="1:12" x14ac:dyDescent="0.25">
      <c r="A40" s="877"/>
      <c r="B40" s="877"/>
      <c r="C40" s="877"/>
      <c r="D40" s="877"/>
      <c r="E40" s="877"/>
      <c r="F40" s="877"/>
      <c r="G40" s="877"/>
      <c r="H40" s="877"/>
      <c r="I40" s="877"/>
      <c r="J40" s="877"/>
      <c r="K40" s="877"/>
      <c r="L40" s="877"/>
    </row>
    <row r="41" spans="1:12" x14ac:dyDescent="0.25">
      <c r="A41" s="877"/>
      <c r="B41" s="877"/>
      <c r="C41" s="877"/>
      <c r="D41" s="877"/>
      <c r="E41" s="877"/>
      <c r="F41" s="877"/>
      <c r="G41" s="877"/>
      <c r="H41" s="877"/>
      <c r="I41" s="877"/>
      <c r="J41" s="877"/>
      <c r="K41" s="877"/>
      <c r="L41" s="877"/>
    </row>
    <row r="42" spans="1:12" x14ac:dyDescent="0.25">
      <c r="A42" s="877"/>
      <c r="B42" s="877"/>
      <c r="C42" s="877"/>
      <c r="D42" s="877"/>
      <c r="E42" s="877"/>
      <c r="F42" s="877"/>
      <c r="G42" s="877"/>
      <c r="H42" s="877"/>
      <c r="I42" s="877"/>
      <c r="J42" s="877"/>
      <c r="K42" s="877"/>
      <c r="L42" s="877"/>
    </row>
    <row r="43" spans="1:12" x14ac:dyDescent="0.25">
      <c r="A43" s="877"/>
      <c r="B43" s="877"/>
      <c r="C43" s="877"/>
      <c r="D43" s="877"/>
      <c r="E43" s="877"/>
      <c r="F43" s="877"/>
      <c r="G43" s="877"/>
      <c r="H43" s="877"/>
      <c r="I43" s="877"/>
      <c r="J43" s="877"/>
      <c r="K43" s="877"/>
      <c r="L43" s="877"/>
    </row>
  </sheetData>
  <mergeCells count="16">
    <mergeCell ref="D18:E18"/>
    <mergeCell ref="D20:E20"/>
    <mergeCell ref="D9:F10"/>
    <mergeCell ref="I9:K9"/>
    <mergeCell ref="B3:O3"/>
    <mergeCell ref="B9:C9"/>
    <mergeCell ref="B10:C10"/>
    <mergeCell ref="B2:O2"/>
    <mergeCell ref="M16:O16"/>
    <mergeCell ref="N10:O11"/>
    <mergeCell ref="C5:O5"/>
    <mergeCell ref="A7:O7"/>
    <mergeCell ref="M9:O9"/>
    <mergeCell ref="D12:E12"/>
    <mergeCell ref="D14:E14"/>
    <mergeCell ref="D16:E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V396"/>
  <sheetViews>
    <sheetView showGridLines="0" showRowColHeaders="0" zoomScale="110" zoomScaleNormal="110" workbookViewId="0">
      <selection activeCell="C16" sqref="C16"/>
    </sheetView>
  </sheetViews>
  <sheetFormatPr defaultColWidth="11.42578125" defaultRowHeight="15" outlineLevelRow="1" x14ac:dyDescent="0.25"/>
  <cols>
    <col min="1" max="1" width="3.42578125" customWidth="1"/>
    <col min="2" max="2" width="13.7109375" customWidth="1"/>
    <col min="3" max="3" width="21.85546875" customWidth="1"/>
    <col min="4" max="4" width="2.7109375" customWidth="1"/>
    <col min="5" max="9" width="10.7109375" customWidth="1"/>
    <col min="10" max="11" width="3.5703125" customWidth="1"/>
    <col min="12" max="12" width="18.7109375" customWidth="1"/>
    <col min="13" max="13" width="3.85546875" customWidth="1"/>
    <col min="16" max="16" width="3.42578125" customWidth="1"/>
  </cols>
  <sheetData>
    <row r="1" spans="1:22" s="33" customFormat="1" ht="59.25" customHeight="1" x14ac:dyDescent="0.25">
      <c r="A1" s="36"/>
      <c r="B1" s="1107" t="s">
        <v>1275</v>
      </c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497"/>
    </row>
    <row r="2" spans="1:22" s="33" customFormat="1" ht="25.5" customHeight="1" x14ac:dyDescent="0.25">
      <c r="A2" s="36"/>
      <c r="B2" s="1104" t="s">
        <v>870</v>
      </c>
      <c r="C2" s="1105"/>
      <c r="D2" s="1105"/>
      <c r="E2" s="1105"/>
      <c r="F2" s="1105"/>
      <c r="G2" s="1105"/>
      <c r="H2" s="1105"/>
      <c r="I2" s="1105"/>
      <c r="J2" s="1105"/>
      <c r="K2" s="1105"/>
      <c r="L2" s="1105"/>
      <c r="M2" s="1105"/>
      <c r="N2" s="1105"/>
      <c r="O2" s="1106"/>
      <c r="P2" s="497"/>
    </row>
    <row r="3" spans="1:22" s="216" customFormat="1" ht="12.75" customHeight="1" x14ac:dyDescent="0.25">
      <c r="A3" s="126"/>
      <c r="B3" s="263"/>
      <c r="C3" s="263"/>
      <c r="D3" s="263"/>
      <c r="E3" s="263"/>
      <c r="F3" s="518"/>
      <c r="G3" s="518"/>
      <c r="H3" s="518"/>
      <c r="I3" s="518"/>
      <c r="J3" s="518"/>
      <c r="K3" s="37"/>
      <c r="L3" s="497"/>
      <c r="M3" s="497"/>
      <c r="N3" s="497"/>
      <c r="O3" s="497"/>
      <c r="P3" s="497"/>
    </row>
    <row r="4" spans="1:22" s="33" customFormat="1" ht="27.75" x14ac:dyDescent="0.25">
      <c r="A4" s="36"/>
      <c r="B4" s="31"/>
      <c r="C4" s="30"/>
      <c r="D4" s="30"/>
      <c r="E4" s="30"/>
      <c r="F4" s="1086" t="s">
        <v>759</v>
      </c>
      <c r="G4" s="1086"/>
      <c r="H4" s="1086"/>
      <c r="I4" s="1086"/>
      <c r="J4" s="1086"/>
      <c r="K4" s="1086"/>
      <c r="L4" s="1086"/>
      <c r="M4" s="1086"/>
      <c r="N4" s="1086"/>
      <c r="O4" s="1087"/>
      <c r="P4" s="497"/>
    </row>
    <row r="5" spans="1:22" ht="36" customHeight="1" x14ac:dyDescent="0.25">
      <c r="A5" s="36"/>
      <c r="B5" s="36"/>
      <c r="C5" s="36"/>
      <c r="D5" s="36"/>
      <c r="E5" s="36"/>
      <c r="F5" s="26"/>
      <c r="G5" s="26"/>
      <c r="H5" s="26"/>
      <c r="I5" s="36"/>
      <c r="J5" s="36"/>
      <c r="K5" s="36"/>
      <c r="L5" s="497"/>
      <c r="M5" s="497"/>
      <c r="N5" s="497"/>
      <c r="O5" s="497"/>
      <c r="P5" s="497"/>
      <c r="R5" s="833"/>
      <c r="S5" s="833"/>
      <c r="T5" s="833"/>
      <c r="U5" s="833"/>
      <c r="V5" s="833"/>
    </row>
    <row r="6" spans="1:22" ht="18.75" customHeight="1" x14ac:dyDescent="0.25">
      <c r="A6" s="36"/>
      <c r="B6" s="28"/>
      <c r="C6" s="1119" t="s">
        <v>1200</v>
      </c>
      <c r="D6" s="1120"/>
      <c r="E6" s="1120"/>
      <c r="F6" s="1120"/>
      <c r="G6" s="1120"/>
      <c r="H6" s="1120"/>
      <c r="I6" s="330"/>
      <c r="J6" s="19"/>
      <c r="K6" s="36"/>
      <c r="L6" s="1108" t="s">
        <v>1210</v>
      </c>
      <c r="M6" s="1109"/>
      <c r="N6" s="1109"/>
      <c r="O6" s="1110"/>
      <c r="P6" s="497"/>
      <c r="R6" s="855">
        <f>R8-R7</f>
        <v>0.34138498747711576</v>
      </c>
      <c r="S6" s="856">
        <f>S8-S7</f>
        <v>0.29946051533080331</v>
      </c>
      <c r="T6" s="857">
        <f>T8-T7</f>
        <v>85.498862687660292</v>
      </c>
      <c r="U6" s="856">
        <f>U8-U7</f>
        <v>0.58560864854561845</v>
      </c>
      <c r="V6" s="833"/>
    </row>
    <row r="7" spans="1:22" s="604" customFormat="1" ht="17.45" customHeight="1" x14ac:dyDescent="0.25">
      <c r="A7" s="497"/>
      <c r="B7" s="527"/>
      <c r="C7" s="1121"/>
      <c r="D7" s="1121"/>
      <c r="E7" s="1121"/>
      <c r="F7" s="1121"/>
      <c r="G7" s="1121"/>
      <c r="H7" s="1121"/>
      <c r="I7" s="526"/>
      <c r="J7" s="500"/>
      <c r="K7" s="497"/>
      <c r="L7" s="1111"/>
      <c r="M7" s="1112"/>
      <c r="N7" s="1112"/>
      <c r="O7" s="1113"/>
      <c r="P7" s="497"/>
      <c r="R7" s="855">
        <f>POWER(C23,0.75)*0.033</f>
        <v>0.79861501252288414</v>
      </c>
      <c r="S7" s="856">
        <f>R7/R8</f>
        <v>0.70053948466919669</v>
      </c>
      <c r="T7" s="857">
        <f>POWER(C23,0.75)*2.5</f>
        <v>60.501137312339708</v>
      </c>
      <c r="U7" s="856">
        <f>T7/T8</f>
        <v>0.41439135145438155</v>
      </c>
      <c r="V7" s="833"/>
    </row>
    <row r="8" spans="1:22" s="72" customFormat="1" ht="30" customHeight="1" x14ac:dyDescent="0.35">
      <c r="A8" s="100"/>
      <c r="B8" s="20" t="s">
        <v>23</v>
      </c>
      <c r="C8" s="339" t="s">
        <v>5</v>
      </c>
      <c r="D8" s="73"/>
      <c r="E8" s="1116" t="s">
        <v>100</v>
      </c>
      <c r="F8" s="1116"/>
      <c r="G8" s="1116"/>
      <c r="H8" s="1116"/>
      <c r="I8" s="1116"/>
      <c r="J8" s="21"/>
      <c r="K8" s="100"/>
      <c r="L8" s="527"/>
      <c r="M8" s="1114" t="s">
        <v>48</v>
      </c>
      <c r="N8" s="1114"/>
      <c r="O8" s="859" t="s">
        <v>22</v>
      </c>
      <c r="P8" s="527"/>
      <c r="Q8" s="838"/>
      <c r="R8" s="858">
        <f>F16</f>
        <v>1.1399999999999999</v>
      </c>
      <c r="S8" s="856">
        <v>1</v>
      </c>
      <c r="T8" s="857">
        <f>G16</f>
        <v>146</v>
      </c>
      <c r="U8" s="856">
        <v>1</v>
      </c>
      <c r="V8" s="833"/>
    </row>
    <row r="9" spans="1:22" s="72" customFormat="1" x14ac:dyDescent="0.25">
      <c r="A9" s="100"/>
      <c r="B9" s="114"/>
      <c r="C9" s="75"/>
      <c r="D9" s="73"/>
      <c r="E9" s="1116"/>
      <c r="F9" s="1116"/>
      <c r="G9" s="1116"/>
      <c r="H9" s="1116"/>
      <c r="I9" s="1116"/>
      <c r="J9" s="21"/>
      <c r="K9" s="100"/>
      <c r="L9" s="527"/>
      <c r="M9" s="526"/>
      <c r="N9" s="526"/>
      <c r="O9" s="500"/>
      <c r="P9" s="497"/>
      <c r="Q9" s="838"/>
      <c r="R9" s="833"/>
      <c r="S9" s="833"/>
      <c r="T9" s="833"/>
      <c r="U9" s="833"/>
      <c r="V9" s="833"/>
    </row>
    <row r="10" spans="1:22" ht="30" customHeight="1" x14ac:dyDescent="0.25">
      <c r="A10" s="36"/>
      <c r="B10" s="115" t="s">
        <v>95</v>
      </c>
      <c r="C10" s="560" t="str">
        <f>IF(C8="","",CONCATENATE(C23," kg"))</f>
        <v>70 kg</v>
      </c>
      <c r="D10" s="34"/>
      <c r="E10" s="1115" t="s">
        <v>19</v>
      </c>
      <c r="F10" s="1115"/>
      <c r="G10" s="1115"/>
      <c r="H10" s="1115"/>
      <c r="I10" s="1115"/>
      <c r="J10" s="21"/>
      <c r="K10" s="36"/>
      <c r="L10" s="860" t="s">
        <v>1213</v>
      </c>
      <c r="M10" s="526"/>
      <c r="N10" s="526"/>
      <c r="O10" s="500"/>
      <c r="P10" s="497"/>
      <c r="Q10" s="838"/>
      <c r="R10" s="838"/>
      <c r="S10" s="838"/>
      <c r="T10" s="838"/>
      <c r="U10" s="838"/>
    </row>
    <row r="11" spans="1:22" ht="15" customHeight="1" x14ac:dyDescent="0.25">
      <c r="A11" s="36"/>
      <c r="B11" s="20"/>
      <c r="C11" s="73"/>
      <c r="D11" s="34"/>
      <c r="E11" s="1118" t="str">
        <f>CONCATENATE(C8,"  ",C10,"   ",C12,"    ",C14,"      ",C16)</f>
        <v>Brebis  70 kg   Gestante    Double      Semaines - 3 à - 4</v>
      </c>
      <c r="F11" s="1118"/>
      <c r="G11" s="1118"/>
      <c r="H11" s="1118"/>
      <c r="I11" s="1118"/>
      <c r="J11" s="21"/>
      <c r="K11" s="36"/>
      <c r="L11" s="1103" t="s">
        <v>1211</v>
      </c>
      <c r="M11" s="526"/>
      <c r="N11" s="526"/>
      <c r="O11" s="500"/>
      <c r="P11" s="497"/>
      <c r="Q11" s="838"/>
      <c r="R11" s="838"/>
      <c r="S11" s="838"/>
      <c r="T11" s="838"/>
      <c r="U11" s="838"/>
    </row>
    <row r="12" spans="1:22" ht="30" customHeight="1" x14ac:dyDescent="0.25">
      <c r="A12" s="36"/>
      <c r="B12" s="20" t="str">
        <f>IF(C8="Brebis traite","Production laitière",IF(C8="brebis","Stade physiologique","Objectifs"))</f>
        <v>Stade physiologique</v>
      </c>
      <c r="C12" s="339" t="s">
        <v>1290</v>
      </c>
      <c r="D12" s="34"/>
      <c r="E12" s="1118"/>
      <c r="F12" s="1118"/>
      <c r="G12" s="1118"/>
      <c r="H12" s="1118"/>
      <c r="I12" s="1118"/>
      <c r="J12" s="21"/>
      <c r="K12" s="36"/>
      <c r="L12" s="1103"/>
      <c r="M12" s="526"/>
      <c r="N12" s="526"/>
      <c r="O12" s="500"/>
      <c r="P12" s="497"/>
      <c r="Q12" s="838"/>
      <c r="R12" s="838"/>
      <c r="S12" s="838"/>
      <c r="T12" s="838"/>
      <c r="U12" s="838"/>
    </row>
    <row r="13" spans="1:22" ht="15" customHeight="1" x14ac:dyDescent="0.25">
      <c r="A13" s="36"/>
      <c r="B13" s="20"/>
      <c r="C13" s="73"/>
      <c r="D13" s="34"/>
      <c r="E13" s="35"/>
      <c r="F13" s="35"/>
      <c r="G13" s="35"/>
      <c r="H13" s="35"/>
      <c r="I13" s="35"/>
      <c r="J13" s="21"/>
      <c r="K13" s="36"/>
      <c r="L13" s="1122" t="str">
        <f>CONCATENATE(ROUND(G16/F16,0)," g PDI/UF")</f>
        <v>128 g PDI/UF</v>
      </c>
      <c r="M13" s="526"/>
      <c r="N13" s="526"/>
      <c r="O13" s="500"/>
      <c r="P13" s="497"/>
      <c r="Q13" s="838"/>
      <c r="R13" s="838"/>
      <c r="S13" s="838"/>
      <c r="T13" s="838"/>
      <c r="U13" s="838"/>
    </row>
    <row r="14" spans="1:22" ht="30" customHeight="1" x14ac:dyDescent="0.25">
      <c r="A14" s="36"/>
      <c r="B14" s="20" t="str">
        <f>IF(C8="Brebis","Agnelage            Etat","")</f>
        <v>Agnelage            Etat</v>
      </c>
      <c r="C14" s="193" t="s">
        <v>1291</v>
      </c>
      <c r="D14" s="34"/>
      <c r="E14" s="1117" t="s">
        <v>18</v>
      </c>
      <c r="F14" s="1117"/>
      <c r="G14" s="1117"/>
      <c r="H14" s="1117"/>
      <c r="I14" s="1117"/>
      <c r="J14" s="21"/>
      <c r="K14" s="36"/>
      <c r="L14" s="1122"/>
      <c r="M14" s="526"/>
      <c r="N14" s="526"/>
      <c r="O14" s="500"/>
      <c r="P14" s="497"/>
      <c r="Q14" s="838"/>
      <c r="R14" s="838"/>
      <c r="S14" s="838"/>
      <c r="T14" s="838"/>
      <c r="U14" s="838"/>
    </row>
    <row r="15" spans="1:22" ht="18.75" x14ac:dyDescent="0.35">
      <c r="A15" s="36"/>
      <c r="B15" s="20"/>
      <c r="C15" s="73"/>
      <c r="D15" s="34"/>
      <c r="E15" s="261" t="s">
        <v>14</v>
      </c>
      <c r="F15" s="261" t="s">
        <v>15</v>
      </c>
      <c r="G15" s="261" t="s">
        <v>22</v>
      </c>
      <c r="H15" s="261" t="s">
        <v>468</v>
      </c>
      <c r="I15" s="261" t="s">
        <v>469</v>
      </c>
      <c r="J15" s="21"/>
      <c r="K15" s="36"/>
      <c r="L15" s="1103" t="s">
        <v>1212</v>
      </c>
      <c r="M15" s="526"/>
      <c r="N15" s="526"/>
      <c r="O15" s="500"/>
      <c r="P15" s="497"/>
      <c r="Q15" s="838"/>
      <c r="R15" s="838"/>
      <c r="S15" s="838"/>
      <c r="T15" s="838"/>
      <c r="U15" s="838"/>
    </row>
    <row r="16" spans="1:22" ht="30" customHeight="1" x14ac:dyDescent="0.25">
      <c r="A16" s="36"/>
      <c r="B16" s="20" t="str">
        <f>IF(C8="Brebis","Période (semaines)","")</f>
        <v>Période (semaines)</v>
      </c>
      <c r="C16" s="340" t="s">
        <v>9</v>
      </c>
      <c r="D16" s="34"/>
      <c r="E16" s="212">
        <f>IF(C8="","",VLOOKUP($E$11,$C$39:$I$393,3))</f>
        <v>1.71</v>
      </c>
      <c r="F16" s="212">
        <f>IF(C8="","",IF(VLOOKUP($E$11,$C$39:$I$393,4)="ND","ND",IF(E34=2,VLOOKUP($E$11,$C$39:$I$393,4),VLOOKUP($E$11,$C$39:$I$393,4)+0.2)))</f>
        <v>1.1399999999999999</v>
      </c>
      <c r="G16" s="637">
        <f>IF(C8="","",VLOOKUP($E$11,$C$39:$I$393,5))</f>
        <v>146</v>
      </c>
      <c r="H16" s="211">
        <f>IF(C8="","",VLOOKUP($E$11,$C$39:$I$393,6))</f>
        <v>3.2</v>
      </c>
      <c r="I16" s="211">
        <f>IF(C8="","",VLOOKUP($E$11,$C$39:$I$393,7))</f>
        <v>3.5</v>
      </c>
      <c r="J16" s="21"/>
      <c r="K16" s="36"/>
      <c r="L16" s="1103"/>
      <c r="M16" s="526"/>
      <c r="N16" s="526"/>
      <c r="O16" s="500"/>
      <c r="P16" s="497"/>
      <c r="Q16" s="838"/>
      <c r="R16" s="838"/>
      <c r="S16" s="838"/>
      <c r="T16" s="838"/>
      <c r="U16" s="838"/>
    </row>
    <row r="17" spans="1:16" x14ac:dyDescent="0.25">
      <c r="A17" s="36"/>
      <c r="B17" s="27"/>
      <c r="C17" s="1050" t="s">
        <v>289</v>
      </c>
      <c r="D17" s="23"/>
      <c r="E17" s="1102" t="str">
        <f>CONCATENATE(ROUND(F16/E16,2)," UFL / UEM")</f>
        <v>0.67 UFL / UEM</v>
      </c>
      <c r="F17" s="1102"/>
      <c r="G17" s="1048" t="str">
        <f>CONCATENATE(ROUND(G16/F16,0)," g PDI / UFL")</f>
        <v>128 g PDI / UFL</v>
      </c>
      <c r="H17" s="1049"/>
      <c r="I17" s="1049" t="str">
        <f>CONCATENATE("Ca/P = ",ROUND(I16/H16,1))</f>
        <v>Ca/P = 1.1</v>
      </c>
      <c r="J17" s="25"/>
      <c r="K17" s="36"/>
      <c r="L17" s="504"/>
      <c r="M17" s="501"/>
      <c r="N17" s="501"/>
      <c r="O17" s="502"/>
      <c r="P17" s="497"/>
    </row>
    <row r="18" spans="1:1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497"/>
      <c r="M18" s="497"/>
      <c r="N18" s="497"/>
      <c r="O18" s="497"/>
      <c r="P18" s="497"/>
    </row>
    <row r="20" spans="1:16" x14ac:dyDescent="0.25">
      <c r="E20" s="491"/>
      <c r="F20" s="491"/>
      <c r="G20" s="491"/>
      <c r="H20" s="491"/>
      <c r="I20" s="491"/>
    </row>
    <row r="21" spans="1:16" hidden="1" outlineLevel="1" x14ac:dyDescent="0.25">
      <c r="E21" s="491"/>
      <c r="F21" s="491"/>
      <c r="G21" s="491"/>
      <c r="H21" s="491"/>
      <c r="I21" s="491"/>
    </row>
    <row r="22" spans="1:16" hidden="1" outlineLevel="1" x14ac:dyDescent="0.25">
      <c r="E22" s="491"/>
      <c r="F22" s="491"/>
      <c r="G22" s="491"/>
      <c r="H22" s="491"/>
      <c r="I22" s="491"/>
    </row>
    <row r="23" spans="1:16" hidden="1" outlineLevel="1" x14ac:dyDescent="0.25">
      <c r="C23" s="158">
        <v>70</v>
      </c>
      <c r="D23" s="768"/>
      <c r="E23" s="491"/>
      <c r="F23" s="491"/>
      <c r="G23" s="491"/>
      <c r="H23" s="491"/>
      <c r="I23" s="491" t="s">
        <v>552</v>
      </c>
      <c r="J23" s="768"/>
      <c r="K23" s="768"/>
      <c r="L23" s="768"/>
    </row>
    <row r="24" spans="1:16" hidden="1" outlineLevel="1" x14ac:dyDescent="0.25">
      <c r="C24" s="768" t="s">
        <v>5</v>
      </c>
      <c r="D24" s="768" t="str">
        <f>IF(C8="Brebis traite","0,5 l/jour",IF(C8="Brebis","Allaitante","Croissance"))</f>
        <v>Allaitante</v>
      </c>
      <c r="E24" s="383" t="str">
        <f>IF(C12="Engrais","Mauvais état (1 - 1.5)",IF(C8="Bélier","",IF(C8="Agnelle","",IF(C8="Brebis traite","",IF(C12="Vide","Sans prise de poids - Entretien",IF(C12="gestante",D31,F31))))))</f>
        <v>Semaines - 5 à - 6</v>
      </c>
      <c r="F24" s="383" t="str">
        <f>IF(C12="Engrais","GMQ  50 g/j",IF(C8="Bélier","",IF(C8="Agnelle","",IF(C8="Brebis traite","",IF(C12="Vide","Mauvais Etat (&lt; 2,5)","Simple")))))</f>
        <v>Simple</v>
      </c>
      <c r="G24" s="491"/>
      <c r="H24" s="491"/>
      <c r="I24" s="491" t="s">
        <v>557</v>
      </c>
      <c r="J24" s="768"/>
      <c r="K24" s="768"/>
      <c r="L24" s="768"/>
    </row>
    <row r="25" spans="1:16" hidden="1" outlineLevel="1" x14ac:dyDescent="0.25">
      <c r="C25" s="768" t="s">
        <v>7</v>
      </c>
      <c r="D25" s="768" t="str">
        <f>IF(C8="Brebis traite","1,0 l/jour",IF(C8="Brebis","Gestante","Flushing"))</f>
        <v>Gestante</v>
      </c>
      <c r="E25" s="383" t="str">
        <f>IF(C12="Engrais","Etat moyen (2 - 2.5)",IF(C8="Bélier","",IF(C8="Agnelle","",IF(C8="Brebis traite","",IF(C12="Vide","Avec prise de poids + 150 g/j",IF(C12="gestante",D32,F32))))))</f>
        <v>Semaines - 3 à - 4</v>
      </c>
      <c r="F25" s="383" t="str">
        <f>IF(C12="Engrais","GMQ 100 g/j",IF(C8="Bélier","",IF(C8="Agnelle","",IF(C8="Brebis traite","",IF(C12="Vide","Etat Moyen (2,5 - 3,5)","Double")))))</f>
        <v>Double</v>
      </c>
      <c r="G25" s="491"/>
      <c r="H25" s="491"/>
      <c r="I25" s="491" t="s">
        <v>96</v>
      </c>
      <c r="J25" s="768" t="s">
        <v>123</v>
      </c>
      <c r="K25" s="768" t="s">
        <v>98</v>
      </c>
      <c r="L25" s="768"/>
    </row>
    <row r="26" spans="1:16" hidden="1" outlineLevel="1" x14ac:dyDescent="0.25">
      <c r="C26" s="768" t="s">
        <v>6</v>
      </c>
      <c r="D26" s="768" t="str">
        <f>IF(C8="Brebis traite","2,0 l/jour",IF(C8="Brebis","Vide","Entretien"))</f>
        <v>Vide</v>
      </c>
      <c r="E26" s="383" t="str">
        <f>IF(C12="Engrais","Bon état (3 - 3.5)",IF(C8="Bélier","",IF(C8="Agnelle","",IF(C8="Brebis traite","",IF(C12="Vide","flushing + 100 g/j",IF(C12="gestante",D33,F33))))))</f>
        <v>Semaines - 2 à 0</v>
      </c>
      <c r="F26" s="383" t="str">
        <f>IF(C12="Engrais","GMQ 150 g/j",IF(C8="Bélier","",IF(C8="Agnelle","",IF(C8="Brebis traite","",IF(C12="Vide","Bon Etat (&gt; 3,5)",IF(C12="Allaitante","Triple","Inconnu"))))))</f>
        <v>Inconnu</v>
      </c>
      <c r="G26" s="491"/>
      <c r="H26" s="491"/>
      <c r="I26" s="491" t="s">
        <v>97</v>
      </c>
      <c r="J26" s="768" t="s">
        <v>124</v>
      </c>
      <c r="K26" s="768" t="s">
        <v>156</v>
      </c>
      <c r="L26" s="768"/>
    </row>
    <row r="27" spans="1:16" hidden="1" outlineLevel="1" x14ac:dyDescent="0.25">
      <c r="C27" s="768" t="s">
        <v>832</v>
      </c>
      <c r="D27" s="768" t="str">
        <f>IF(C8="Brebis traite","2,5 l/jour",IF(C8="Brebis","Engrais",""))</f>
        <v>Engrais</v>
      </c>
      <c r="E27" s="383"/>
      <c r="F27" s="491"/>
      <c r="G27" s="491"/>
      <c r="H27" s="491"/>
      <c r="I27" s="491" t="s">
        <v>98</v>
      </c>
      <c r="J27" s="768" t="s">
        <v>96</v>
      </c>
      <c r="K27" s="768" t="s">
        <v>157</v>
      </c>
      <c r="L27" s="768"/>
    </row>
    <row r="28" spans="1:16" hidden="1" outlineLevel="1" x14ac:dyDescent="0.25">
      <c r="C28" s="768"/>
      <c r="D28" s="768" t="str">
        <f>IF(C8="Brebis traite","3,0 l/jour","")</f>
        <v/>
      </c>
      <c r="E28" s="383"/>
      <c r="F28" s="491"/>
      <c r="G28" s="491"/>
      <c r="H28" s="491"/>
      <c r="I28" s="491" t="s">
        <v>99</v>
      </c>
      <c r="J28" s="768" t="s">
        <v>41</v>
      </c>
      <c r="K28" s="768" t="s">
        <v>125</v>
      </c>
      <c r="L28" s="768"/>
    </row>
    <row r="29" spans="1:16" hidden="1" outlineLevel="1" x14ac:dyDescent="0.25">
      <c r="C29" s="768" t="s">
        <v>97</v>
      </c>
      <c r="D29" s="768" t="str">
        <f>IF(C8="Brebis traite","3,5 l/jour","")</f>
        <v/>
      </c>
      <c r="E29" s="383"/>
      <c r="F29" s="491"/>
      <c r="G29" s="491"/>
      <c r="H29" s="491"/>
      <c r="I29" s="491" t="s">
        <v>157</v>
      </c>
      <c r="J29" s="768" t="s">
        <v>41</v>
      </c>
      <c r="K29" s="768" t="s">
        <v>41</v>
      </c>
      <c r="L29" s="768"/>
    </row>
    <row r="30" spans="1:16" hidden="1" outlineLevel="1" x14ac:dyDescent="0.25">
      <c r="C30" s="768" t="str">
        <f t="shared" ref="C30:C33" si="0">IF($C$9="brebis",I25,IF($C$9="Agnelle",J25,K25))</f>
        <v>70 kg</v>
      </c>
      <c r="D30" s="768"/>
      <c r="E30" s="383"/>
      <c r="F30" s="491"/>
      <c r="G30" s="491"/>
      <c r="H30" s="491"/>
      <c r="I30" s="491" t="s">
        <v>125</v>
      </c>
      <c r="J30" s="768" t="s">
        <v>41</v>
      </c>
      <c r="K30" s="768" t="s">
        <v>41</v>
      </c>
      <c r="L30" s="768"/>
    </row>
    <row r="31" spans="1:16" hidden="1" outlineLevel="1" x14ac:dyDescent="0.25">
      <c r="C31" s="768" t="str">
        <f t="shared" si="0"/>
        <v xml:space="preserve">80 kg </v>
      </c>
      <c r="D31" s="768" t="s">
        <v>8</v>
      </c>
      <c r="E31" s="491"/>
      <c r="F31" s="491" t="s">
        <v>11</v>
      </c>
      <c r="G31" s="760"/>
      <c r="H31" s="491"/>
      <c r="I31" s="491"/>
      <c r="J31" s="768" t="s">
        <v>41</v>
      </c>
      <c r="K31" s="768"/>
      <c r="L31" s="768"/>
    </row>
    <row r="32" spans="1:16" hidden="1" outlineLevel="1" x14ac:dyDescent="0.25">
      <c r="C32" s="768" t="str">
        <f t="shared" si="0"/>
        <v>90 kg</v>
      </c>
      <c r="D32" s="768" t="s">
        <v>9</v>
      </c>
      <c r="E32" s="491"/>
      <c r="F32" s="491" t="s">
        <v>12</v>
      </c>
      <c r="G32" s="491"/>
      <c r="H32" s="491"/>
      <c r="I32" s="491"/>
      <c r="J32" s="768"/>
      <c r="K32" s="768"/>
      <c r="L32" s="768"/>
    </row>
    <row r="33" spans="3:12" hidden="1" outlineLevel="1" x14ac:dyDescent="0.25">
      <c r="C33" s="768" t="str">
        <f t="shared" si="0"/>
        <v>100 kg</v>
      </c>
      <c r="D33" s="768" t="s">
        <v>10</v>
      </c>
      <c r="E33" s="491"/>
      <c r="F33" s="491" t="s">
        <v>13</v>
      </c>
      <c r="G33" s="491"/>
      <c r="H33" s="491"/>
      <c r="I33" s="722" t="s">
        <v>1114</v>
      </c>
      <c r="J33" s="768"/>
      <c r="K33" s="768"/>
      <c r="L33" s="768"/>
    </row>
    <row r="34" spans="3:12" hidden="1" outlineLevel="1" x14ac:dyDescent="0.25">
      <c r="C34" s="768"/>
      <c r="D34" s="768"/>
      <c r="E34" s="535">
        <v>2</v>
      </c>
      <c r="F34" s="491"/>
      <c r="G34" s="491"/>
      <c r="H34" s="491"/>
      <c r="I34" s="722" t="s">
        <v>1115</v>
      </c>
      <c r="J34" s="768"/>
      <c r="K34" s="768"/>
      <c r="L34" s="768"/>
    </row>
    <row r="35" spans="3:12" s="194" customFormat="1" hidden="1" outlineLevel="1" x14ac:dyDescent="0.25">
      <c r="C35" s="768"/>
      <c r="D35" s="768"/>
      <c r="E35" s="491"/>
      <c r="F35" s="491"/>
      <c r="G35" s="491"/>
      <c r="H35" s="491"/>
      <c r="I35" s="491"/>
      <c r="J35" s="768"/>
      <c r="K35" s="768"/>
      <c r="L35" s="768"/>
    </row>
    <row r="36" spans="3:12" hidden="1" outlineLevel="1" x14ac:dyDescent="0.25">
      <c r="C36" s="122"/>
      <c r="E36" s="491"/>
      <c r="F36" s="491"/>
      <c r="G36" s="491"/>
      <c r="H36" s="491"/>
      <c r="I36" s="491"/>
    </row>
    <row r="37" spans="3:12" hidden="1" outlineLevel="1" x14ac:dyDescent="0.25">
      <c r="E37" s="491"/>
      <c r="F37" s="491"/>
      <c r="G37" s="491"/>
      <c r="H37" s="491"/>
      <c r="I37" s="491"/>
    </row>
    <row r="38" spans="3:12" ht="18" hidden="1" outlineLevel="1" x14ac:dyDescent="0.35">
      <c r="C38" s="768" t="s">
        <v>1</v>
      </c>
      <c r="D38" s="768"/>
      <c r="E38" s="651" t="s">
        <v>2</v>
      </c>
      <c r="F38" s="651" t="s">
        <v>0</v>
      </c>
      <c r="G38" s="651" t="s">
        <v>21</v>
      </c>
      <c r="H38" s="651" t="s">
        <v>71</v>
      </c>
      <c r="I38" s="651" t="s">
        <v>72</v>
      </c>
    </row>
    <row r="39" spans="3:12" ht="15" hidden="1" customHeight="1" outlineLevel="1" x14ac:dyDescent="0.25">
      <c r="C39" s="768" t="s">
        <v>1075</v>
      </c>
      <c r="D39" s="768"/>
      <c r="E39" s="203" t="s">
        <v>238</v>
      </c>
      <c r="F39" s="203" t="s">
        <v>238</v>
      </c>
      <c r="G39" s="203" t="s">
        <v>238</v>
      </c>
      <c r="H39" s="203" t="s">
        <v>238</v>
      </c>
      <c r="I39" s="203" t="s">
        <v>238</v>
      </c>
    </row>
    <row r="40" spans="3:12" ht="15" hidden="1" customHeight="1" outlineLevel="1" x14ac:dyDescent="0.25">
      <c r="C40" s="768" t="s">
        <v>1076</v>
      </c>
      <c r="D40" s="768"/>
      <c r="E40" s="203" t="s">
        <v>238</v>
      </c>
      <c r="F40" s="203" t="s">
        <v>238</v>
      </c>
      <c r="G40" s="203" t="s">
        <v>238</v>
      </c>
      <c r="H40" s="203" t="s">
        <v>238</v>
      </c>
      <c r="I40" s="203" t="s">
        <v>238</v>
      </c>
    </row>
    <row r="41" spans="3:12" hidden="1" outlineLevel="1" x14ac:dyDescent="0.25">
      <c r="C41" s="768" t="s">
        <v>1077</v>
      </c>
      <c r="D41" s="768"/>
      <c r="E41" s="203" t="s">
        <v>238</v>
      </c>
      <c r="F41" s="203" t="s">
        <v>238</v>
      </c>
      <c r="G41" s="203" t="s">
        <v>238</v>
      </c>
      <c r="H41" s="203" t="s">
        <v>238</v>
      </c>
      <c r="I41" s="203" t="s">
        <v>238</v>
      </c>
    </row>
    <row r="42" spans="3:12" hidden="1" outlineLevel="1" x14ac:dyDescent="0.25">
      <c r="C42" s="768" t="s">
        <v>1078</v>
      </c>
      <c r="D42" s="768">
        <v>13</v>
      </c>
      <c r="E42" s="203">
        <v>1</v>
      </c>
      <c r="F42" s="203">
        <v>0.56999999999999995</v>
      </c>
      <c r="G42" s="202">
        <v>52</v>
      </c>
      <c r="H42" s="204">
        <v>0.9</v>
      </c>
      <c r="I42" s="204">
        <v>1</v>
      </c>
    </row>
    <row r="43" spans="3:12" hidden="1" outlineLevel="1" x14ac:dyDescent="0.25">
      <c r="C43" s="768" t="s">
        <v>1079</v>
      </c>
      <c r="D43" s="768">
        <v>15</v>
      </c>
      <c r="E43" s="203">
        <v>1</v>
      </c>
      <c r="F43" s="203">
        <v>0.44</v>
      </c>
      <c r="G43" s="202">
        <v>32</v>
      </c>
      <c r="H43" s="204">
        <v>0.6</v>
      </c>
      <c r="I43" s="204">
        <v>0.8</v>
      </c>
    </row>
    <row r="44" spans="3:12" hidden="1" outlineLevel="1" x14ac:dyDescent="0.25">
      <c r="C44" s="768" t="s">
        <v>1080</v>
      </c>
      <c r="D44" s="768">
        <v>14</v>
      </c>
      <c r="E44" s="203">
        <v>1</v>
      </c>
      <c r="F44" s="203">
        <v>1</v>
      </c>
      <c r="G44" s="202">
        <v>54</v>
      </c>
      <c r="H44" s="204">
        <v>0.6</v>
      </c>
      <c r="I44" s="204">
        <v>0.8</v>
      </c>
    </row>
    <row r="45" spans="3:12" hidden="1" outlineLevel="1" x14ac:dyDescent="0.25">
      <c r="C45" s="768" t="s">
        <v>1081</v>
      </c>
      <c r="D45" s="768">
        <v>16</v>
      </c>
      <c r="E45" s="203">
        <v>1.2</v>
      </c>
      <c r="F45" s="203">
        <v>0.78</v>
      </c>
      <c r="G45" s="202">
        <v>62</v>
      </c>
      <c r="H45" s="204">
        <v>1.4</v>
      </c>
      <c r="I45" s="204">
        <v>1.5</v>
      </c>
    </row>
    <row r="46" spans="3:12" hidden="1" outlineLevel="1" x14ac:dyDescent="0.25">
      <c r="C46" s="768" t="s">
        <v>1082</v>
      </c>
      <c r="D46" s="768">
        <v>18</v>
      </c>
      <c r="E46" s="203">
        <v>1.2</v>
      </c>
      <c r="F46" s="203">
        <v>0.52</v>
      </c>
      <c r="G46" s="202">
        <v>40</v>
      </c>
      <c r="H46" s="204">
        <v>0.8</v>
      </c>
      <c r="I46" s="204">
        <v>1</v>
      </c>
    </row>
    <row r="47" spans="3:12" hidden="1" outlineLevel="1" x14ac:dyDescent="0.25">
      <c r="C47" s="768" t="s">
        <v>1083</v>
      </c>
      <c r="D47" s="768">
        <v>17</v>
      </c>
      <c r="E47" s="203">
        <v>1.2</v>
      </c>
      <c r="F47" s="203">
        <v>1.08</v>
      </c>
      <c r="G47" s="202">
        <v>62</v>
      </c>
      <c r="H47" s="204">
        <v>0.8</v>
      </c>
      <c r="I47" s="204">
        <v>1</v>
      </c>
    </row>
    <row r="48" spans="3:12" s="741" customFormat="1" hidden="1" outlineLevel="1" x14ac:dyDescent="0.25">
      <c r="C48" s="768" t="s">
        <v>1084</v>
      </c>
      <c r="D48" s="768">
        <v>19</v>
      </c>
      <c r="E48" s="203">
        <v>1.3</v>
      </c>
      <c r="F48" s="203">
        <v>0.84</v>
      </c>
      <c r="G48" s="202">
        <v>69</v>
      </c>
      <c r="H48" s="204">
        <v>1.6</v>
      </c>
      <c r="I48" s="204">
        <v>1.7</v>
      </c>
    </row>
    <row r="49" spans="3:9" s="741" customFormat="1" hidden="1" outlineLevel="1" x14ac:dyDescent="0.25">
      <c r="C49" s="768" t="s">
        <v>1085</v>
      </c>
      <c r="D49" s="768">
        <v>21</v>
      </c>
      <c r="E49" s="203">
        <v>1.3</v>
      </c>
      <c r="F49" s="203">
        <v>0.62</v>
      </c>
      <c r="G49" s="202">
        <v>47</v>
      </c>
      <c r="H49" s="204">
        <v>1</v>
      </c>
      <c r="I49" s="204">
        <v>1.2</v>
      </c>
    </row>
    <row r="50" spans="3:9" s="741" customFormat="1" hidden="1" outlineLevel="1" x14ac:dyDescent="0.25">
      <c r="C50" s="768" t="s">
        <v>1086</v>
      </c>
      <c r="D50" s="768">
        <v>20</v>
      </c>
      <c r="E50" s="203">
        <v>1.3</v>
      </c>
      <c r="F50" s="203">
        <v>0.84</v>
      </c>
      <c r="G50" s="202">
        <v>69</v>
      </c>
      <c r="H50" s="204">
        <v>1</v>
      </c>
      <c r="I50" s="204">
        <v>1.2</v>
      </c>
    </row>
    <row r="51" spans="3:9" s="741" customFormat="1" hidden="1" outlineLevel="1" x14ac:dyDescent="0.25">
      <c r="C51" s="768" t="s">
        <v>1087</v>
      </c>
      <c r="D51" s="768"/>
      <c r="E51" s="203" t="s">
        <v>238</v>
      </c>
      <c r="F51" s="203" t="s">
        <v>238</v>
      </c>
      <c r="G51" s="203" t="s">
        <v>238</v>
      </c>
      <c r="H51" s="203" t="s">
        <v>238</v>
      </c>
      <c r="I51" s="203" t="s">
        <v>238</v>
      </c>
    </row>
    <row r="52" spans="3:9" s="741" customFormat="1" hidden="1" outlineLevel="1" x14ac:dyDescent="0.25">
      <c r="C52" s="768" t="s">
        <v>1088</v>
      </c>
      <c r="D52" s="768"/>
      <c r="E52" s="203" t="s">
        <v>238</v>
      </c>
      <c r="F52" s="203" t="s">
        <v>238</v>
      </c>
      <c r="G52" s="203" t="s">
        <v>238</v>
      </c>
      <c r="H52" s="203" t="s">
        <v>238</v>
      </c>
      <c r="I52" s="203" t="s">
        <v>238</v>
      </c>
    </row>
    <row r="53" spans="3:9" s="741" customFormat="1" hidden="1" outlineLevel="1" x14ac:dyDescent="0.25">
      <c r="C53" s="768" t="s">
        <v>1089</v>
      </c>
      <c r="D53" s="768"/>
      <c r="E53" s="203" t="s">
        <v>238</v>
      </c>
      <c r="F53" s="203" t="s">
        <v>238</v>
      </c>
      <c r="G53" s="203" t="s">
        <v>238</v>
      </c>
      <c r="H53" s="203" t="s">
        <v>238</v>
      </c>
      <c r="I53" s="203" t="s">
        <v>238</v>
      </c>
    </row>
    <row r="54" spans="3:9" s="741" customFormat="1" hidden="1" outlineLevel="1" x14ac:dyDescent="0.25">
      <c r="C54" s="768" t="s">
        <v>1090</v>
      </c>
      <c r="D54" s="768"/>
      <c r="E54" s="203" t="s">
        <v>238</v>
      </c>
      <c r="F54" s="203" t="s">
        <v>238</v>
      </c>
      <c r="G54" s="203" t="s">
        <v>238</v>
      </c>
      <c r="H54" s="203" t="s">
        <v>238</v>
      </c>
      <c r="I54" s="203" t="s">
        <v>238</v>
      </c>
    </row>
    <row r="55" spans="3:9" s="741" customFormat="1" hidden="1" outlineLevel="1" x14ac:dyDescent="0.25">
      <c r="C55" s="768" t="s">
        <v>1091</v>
      </c>
      <c r="D55" s="768"/>
      <c r="E55" s="203" t="s">
        <v>238</v>
      </c>
      <c r="F55" s="203" t="s">
        <v>238</v>
      </c>
      <c r="G55" s="203" t="s">
        <v>238</v>
      </c>
      <c r="H55" s="203" t="s">
        <v>238</v>
      </c>
      <c r="I55" s="203" t="s">
        <v>238</v>
      </c>
    </row>
    <row r="56" spans="3:9" s="741" customFormat="1" hidden="1" outlineLevel="1" x14ac:dyDescent="0.25">
      <c r="C56" s="768" t="s">
        <v>1092</v>
      </c>
      <c r="D56" s="768"/>
      <c r="E56" s="203" t="s">
        <v>238</v>
      </c>
      <c r="F56" s="203" t="s">
        <v>238</v>
      </c>
      <c r="G56" s="203" t="s">
        <v>238</v>
      </c>
      <c r="H56" s="203" t="s">
        <v>238</v>
      </c>
      <c r="I56" s="203" t="s">
        <v>238</v>
      </c>
    </row>
    <row r="57" spans="3:9" s="741" customFormat="1" hidden="1" outlineLevel="1" x14ac:dyDescent="0.25">
      <c r="C57" s="768" t="s">
        <v>1093</v>
      </c>
      <c r="D57" s="768"/>
      <c r="E57" s="203" t="s">
        <v>238</v>
      </c>
      <c r="F57" s="203" t="s">
        <v>238</v>
      </c>
      <c r="G57" s="203" t="s">
        <v>238</v>
      </c>
      <c r="H57" s="203" t="s">
        <v>238</v>
      </c>
      <c r="I57" s="203" t="s">
        <v>238</v>
      </c>
    </row>
    <row r="58" spans="3:9" s="741" customFormat="1" hidden="1" outlineLevel="1" x14ac:dyDescent="0.25">
      <c r="C58" s="768" t="s">
        <v>1094</v>
      </c>
      <c r="D58" s="768"/>
      <c r="E58" s="203" t="s">
        <v>238</v>
      </c>
      <c r="F58" s="203" t="s">
        <v>238</v>
      </c>
      <c r="G58" s="203" t="s">
        <v>238</v>
      </c>
      <c r="H58" s="203" t="s">
        <v>238</v>
      </c>
      <c r="I58" s="203" t="s">
        <v>238</v>
      </c>
    </row>
    <row r="59" spans="3:9" s="741" customFormat="1" hidden="1" outlineLevel="1" x14ac:dyDescent="0.25">
      <c r="C59" s="768" t="s">
        <v>1095</v>
      </c>
      <c r="D59" s="768"/>
      <c r="E59" s="203" t="s">
        <v>238</v>
      </c>
      <c r="F59" s="203" t="s">
        <v>238</v>
      </c>
      <c r="G59" s="203" t="s">
        <v>238</v>
      </c>
      <c r="H59" s="203" t="s">
        <v>238</v>
      </c>
      <c r="I59" s="203" t="s">
        <v>238</v>
      </c>
    </row>
    <row r="60" spans="3:9" s="741" customFormat="1" hidden="1" outlineLevel="1" x14ac:dyDescent="0.25">
      <c r="C60" s="768" t="s">
        <v>1096</v>
      </c>
      <c r="D60" s="768"/>
      <c r="E60" s="203" t="s">
        <v>238</v>
      </c>
      <c r="F60" s="203" t="s">
        <v>238</v>
      </c>
      <c r="G60" s="203" t="s">
        <v>238</v>
      </c>
      <c r="H60" s="203" t="s">
        <v>238</v>
      </c>
      <c r="I60" s="203" t="s">
        <v>238</v>
      </c>
    </row>
    <row r="61" spans="3:9" s="741" customFormat="1" hidden="1" outlineLevel="1" x14ac:dyDescent="0.25">
      <c r="C61" s="768" t="s">
        <v>1097</v>
      </c>
      <c r="D61" s="768"/>
      <c r="E61" s="203" t="s">
        <v>238</v>
      </c>
      <c r="F61" s="203" t="s">
        <v>238</v>
      </c>
      <c r="G61" s="203" t="s">
        <v>238</v>
      </c>
      <c r="H61" s="203" t="s">
        <v>238</v>
      </c>
      <c r="I61" s="203" t="s">
        <v>238</v>
      </c>
    </row>
    <row r="62" spans="3:9" s="741" customFormat="1" hidden="1" outlineLevel="1" x14ac:dyDescent="0.25">
      <c r="C62" s="768" t="s">
        <v>1098</v>
      </c>
      <c r="D62" s="768"/>
      <c r="E62" s="203" t="s">
        <v>238</v>
      </c>
      <c r="F62" s="203" t="s">
        <v>238</v>
      </c>
      <c r="G62" s="203" t="s">
        <v>238</v>
      </c>
      <c r="H62" s="203" t="s">
        <v>238</v>
      </c>
      <c r="I62" s="203" t="s">
        <v>238</v>
      </c>
    </row>
    <row r="63" spans="3:9" hidden="1" outlineLevel="1" x14ac:dyDescent="0.25">
      <c r="C63" s="768" t="s">
        <v>167</v>
      </c>
      <c r="D63" s="768">
        <v>10</v>
      </c>
      <c r="E63" s="203" t="s">
        <v>238</v>
      </c>
      <c r="F63" s="203" t="s">
        <v>238</v>
      </c>
      <c r="G63" s="203" t="s">
        <v>238</v>
      </c>
      <c r="H63" s="204" t="s">
        <v>238</v>
      </c>
      <c r="I63" s="204" t="s">
        <v>238</v>
      </c>
    </row>
    <row r="64" spans="3:9" hidden="1" outlineLevel="1" x14ac:dyDescent="0.25">
      <c r="C64" s="768" t="s">
        <v>169</v>
      </c>
      <c r="D64" s="768">
        <v>12</v>
      </c>
      <c r="E64" s="203">
        <v>2.8</v>
      </c>
      <c r="F64" s="203">
        <v>1.1000000000000001</v>
      </c>
      <c r="G64" s="202">
        <v>88</v>
      </c>
      <c r="H64" s="204">
        <v>2.2000000000000002</v>
      </c>
      <c r="I64" s="204">
        <v>2.9</v>
      </c>
    </row>
    <row r="65" spans="3:9" hidden="1" outlineLevel="1" x14ac:dyDescent="0.25">
      <c r="C65" s="768" t="s">
        <v>168</v>
      </c>
      <c r="D65" s="768">
        <v>11</v>
      </c>
      <c r="E65" s="203">
        <v>2.8</v>
      </c>
      <c r="F65" s="203">
        <v>1.66</v>
      </c>
      <c r="G65" s="202">
        <v>110</v>
      </c>
      <c r="H65" s="204">
        <v>2.2000000000000002</v>
      </c>
      <c r="I65" s="204">
        <v>2.9</v>
      </c>
    </row>
    <row r="66" spans="3:9" hidden="1" outlineLevel="1" x14ac:dyDescent="0.25">
      <c r="C66" s="768" t="s">
        <v>1062</v>
      </c>
      <c r="D66" s="768"/>
      <c r="E66" s="203" t="s">
        <v>238</v>
      </c>
      <c r="F66" s="203" t="s">
        <v>238</v>
      </c>
      <c r="G66" s="203" t="s">
        <v>238</v>
      </c>
      <c r="H66" s="203" t="s">
        <v>238</v>
      </c>
      <c r="I66" s="203" t="s">
        <v>238</v>
      </c>
    </row>
    <row r="67" spans="3:9" hidden="1" outlineLevel="1" x14ac:dyDescent="0.25">
      <c r="C67" s="768" t="s">
        <v>1063</v>
      </c>
      <c r="D67" s="768"/>
      <c r="E67" s="203" t="s">
        <v>238</v>
      </c>
      <c r="F67" s="203" t="s">
        <v>238</v>
      </c>
      <c r="G67" s="203" t="s">
        <v>238</v>
      </c>
      <c r="H67" s="203" t="s">
        <v>238</v>
      </c>
      <c r="I67" s="203" t="s">
        <v>238</v>
      </c>
    </row>
    <row r="68" spans="3:9" hidden="1" outlineLevel="1" x14ac:dyDescent="0.25">
      <c r="C68" s="768" t="s">
        <v>1064</v>
      </c>
      <c r="D68" s="768"/>
      <c r="E68" s="203" t="s">
        <v>238</v>
      </c>
      <c r="F68" s="203" t="s">
        <v>238</v>
      </c>
      <c r="G68" s="203" t="s">
        <v>238</v>
      </c>
      <c r="H68" s="203" t="s">
        <v>238</v>
      </c>
      <c r="I68" s="203" t="s">
        <v>238</v>
      </c>
    </row>
    <row r="69" spans="3:9" hidden="1" outlineLevel="1" x14ac:dyDescent="0.25">
      <c r="C69" s="768" t="s">
        <v>1059</v>
      </c>
      <c r="D69" s="768"/>
      <c r="E69" s="203" t="s">
        <v>238</v>
      </c>
      <c r="F69" s="203" t="s">
        <v>238</v>
      </c>
      <c r="G69" s="203" t="s">
        <v>238</v>
      </c>
      <c r="H69" s="203" t="s">
        <v>238</v>
      </c>
      <c r="I69" s="203" t="s">
        <v>238</v>
      </c>
    </row>
    <row r="70" spans="3:9" hidden="1" outlineLevel="1" x14ac:dyDescent="0.25">
      <c r="C70" s="768" t="s">
        <v>1060</v>
      </c>
      <c r="D70" s="768"/>
      <c r="E70" s="203" t="s">
        <v>238</v>
      </c>
      <c r="F70" s="203" t="s">
        <v>238</v>
      </c>
      <c r="G70" s="203" t="s">
        <v>238</v>
      </c>
      <c r="H70" s="203" t="s">
        <v>238</v>
      </c>
      <c r="I70" s="203" t="s">
        <v>238</v>
      </c>
    </row>
    <row r="71" spans="3:9" hidden="1" outlineLevel="1" x14ac:dyDescent="0.25">
      <c r="C71" s="768" t="s">
        <v>1061</v>
      </c>
      <c r="D71" s="768"/>
      <c r="E71" s="203" t="s">
        <v>238</v>
      </c>
      <c r="F71" s="203" t="s">
        <v>238</v>
      </c>
      <c r="G71" s="203" t="s">
        <v>238</v>
      </c>
      <c r="H71" s="203" t="s">
        <v>238</v>
      </c>
      <c r="I71" s="203" t="s">
        <v>238</v>
      </c>
    </row>
    <row r="72" spans="3:9" hidden="1" outlineLevel="1" x14ac:dyDescent="0.25">
      <c r="C72" s="768" t="s">
        <v>777</v>
      </c>
      <c r="D72" s="768"/>
      <c r="E72" s="203">
        <v>1.8</v>
      </c>
      <c r="F72" s="203">
        <v>1.1100000000000001</v>
      </c>
      <c r="G72" s="205">
        <v>86</v>
      </c>
      <c r="H72" s="204">
        <v>1.9</v>
      </c>
      <c r="I72" s="204">
        <v>2.4</v>
      </c>
    </row>
    <row r="73" spans="3:9" hidden="1" outlineLevel="1" x14ac:dyDescent="0.25">
      <c r="C73" s="768" t="s">
        <v>775</v>
      </c>
      <c r="D73" s="768"/>
      <c r="E73" s="203">
        <v>1.8</v>
      </c>
      <c r="F73" s="203">
        <v>0.72</v>
      </c>
      <c r="G73" s="205">
        <v>63</v>
      </c>
      <c r="H73" s="204">
        <v>1.2</v>
      </c>
      <c r="I73" s="204">
        <v>1.4</v>
      </c>
    </row>
    <row r="74" spans="3:9" hidden="1" outlineLevel="1" x14ac:dyDescent="0.25">
      <c r="C74" s="768" t="s">
        <v>776</v>
      </c>
      <c r="D74" s="768"/>
      <c r="E74" s="203">
        <v>1.8</v>
      </c>
      <c r="F74" s="203">
        <v>1.29</v>
      </c>
      <c r="G74" s="205">
        <v>75</v>
      </c>
      <c r="H74" s="204">
        <v>1.2</v>
      </c>
      <c r="I74" s="204">
        <v>2.7</v>
      </c>
    </row>
    <row r="75" spans="3:9" s="603" customFormat="1" hidden="1" outlineLevel="1" x14ac:dyDescent="0.25">
      <c r="C75" s="768" t="s">
        <v>780</v>
      </c>
      <c r="D75" s="768"/>
      <c r="E75" s="203">
        <v>2</v>
      </c>
      <c r="F75" s="203">
        <v>1.19</v>
      </c>
      <c r="G75" s="205">
        <v>93</v>
      </c>
      <c r="H75" s="204">
        <v>2.1</v>
      </c>
      <c r="I75" s="204">
        <v>2.7</v>
      </c>
    </row>
    <row r="76" spans="3:9" s="603" customFormat="1" hidden="1" outlineLevel="1" x14ac:dyDescent="0.25">
      <c r="C76" s="768" t="s">
        <v>778</v>
      </c>
      <c r="D76" s="768"/>
      <c r="E76" s="203">
        <v>2</v>
      </c>
      <c r="F76" s="203">
        <v>0.8</v>
      </c>
      <c r="G76" s="205">
        <v>60</v>
      </c>
      <c r="H76" s="204">
        <v>1.4</v>
      </c>
      <c r="I76" s="204">
        <v>1.7</v>
      </c>
    </row>
    <row r="77" spans="3:9" s="603" customFormat="1" hidden="1" outlineLevel="1" x14ac:dyDescent="0.25">
      <c r="C77" s="768" t="s">
        <v>779</v>
      </c>
      <c r="D77" s="768"/>
      <c r="E77" s="203">
        <v>2</v>
      </c>
      <c r="F77" s="203">
        <v>1.36</v>
      </c>
      <c r="G77" s="205">
        <v>82</v>
      </c>
      <c r="H77" s="204">
        <v>1.4</v>
      </c>
      <c r="I77" s="204">
        <v>3</v>
      </c>
    </row>
    <row r="78" spans="3:9" s="603" customFormat="1" hidden="1" outlineLevel="1" x14ac:dyDescent="0.25">
      <c r="C78" s="768" t="s">
        <v>158</v>
      </c>
      <c r="D78" s="768">
        <v>1</v>
      </c>
      <c r="E78" s="203">
        <v>2.2000000000000002</v>
      </c>
      <c r="F78" s="203">
        <v>1.27</v>
      </c>
      <c r="G78" s="202">
        <v>100</v>
      </c>
      <c r="H78" s="204">
        <v>2.2999999999999998</v>
      </c>
      <c r="I78" s="204">
        <v>3</v>
      </c>
    </row>
    <row r="79" spans="3:9" s="603" customFormat="1" hidden="1" outlineLevel="1" x14ac:dyDescent="0.25">
      <c r="C79" s="768" t="s">
        <v>160</v>
      </c>
      <c r="D79" s="768">
        <v>3</v>
      </c>
      <c r="E79" s="203">
        <v>2.2000000000000002</v>
      </c>
      <c r="F79" s="203">
        <v>0.88000000000000012</v>
      </c>
      <c r="G79" s="202">
        <v>67</v>
      </c>
      <c r="H79" s="204">
        <v>1.6</v>
      </c>
      <c r="I79" s="204">
        <v>2</v>
      </c>
    </row>
    <row r="80" spans="3:9" s="603" customFormat="1" hidden="1" outlineLevel="1" x14ac:dyDescent="0.25">
      <c r="C80" s="768" t="s">
        <v>159</v>
      </c>
      <c r="D80" s="768">
        <v>2</v>
      </c>
      <c r="E80" s="203">
        <v>2.2000000000000002</v>
      </c>
      <c r="F80" s="203">
        <v>1.44</v>
      </c>
      <c r="G80" s="202">
        <v>89</v>
      </c>
      <c r="H80" s="204">
        <v>1.6</v>
      </c>
      <c r="I80" s="204">
        <v>2</v>
      </c>
    </row>
    <row r="81" spans="3:9" ht="15" hidden="1" customHeight="1" outlineLevel="1" x14ac:dyDescent="0.25">
      <c r="C81" s="768" t="s">
        <v>161</v>
      </c>
      <c r="D81" s="768">
        <v>4</v>
      </c>
      <c r="E81" s="203">
        <v>2.4</v>
      </c>
      <c r="F81" s="203">
        <v>1.35</v>
      </c>
      <c r="G81" s="202">
        <v>107</v>
      </c>
      <c r="H81" s="204">
        <v>2.5</v>
      </c>
      <c r="I81" s="204">
        <v>3.3</v>
      </c>
    </row>
    <row r="82" spans="3:9" ht="15" hidden="1" customHeight="1" outlineLevel="1" x14ac:dyDescent="0.25">
      <c r="C82" s="768" t="s">
        <v>163</v>
      </c>
      <c r="D82" s="768">
        <v>6</v>
      </c>
      <c r="E82" s="203">
        <v>2.4</v>
      </c>
      <c r="F82" s="203">
        <v>0.96</v>
      </c>
      <c r="G82" s="202">
        <v>74</v>
      </c>
      <c r="H82" s="204">
        <v>1.8</v>
      </c>
      <c r="I82" s="204">
        <v>2.2999999999999998</v>
      </c>
    </row>
    <row r="83" spans="3:9" hidden="1" outlineLevel="1" x14ac:dyDescent="0.25">
      <c r="C83" s="768" t="s">
        <v>162</v>
      </c>
      <c r="D83" s="768">
        <v>5</v>
      </c>
      <c r="E83" s="203">
        <v>2.4</v>
      </c>
      <c r="F83" s="203">
        <v>1.52</v>
      </c>
      <c r="G83" s="202">
        <v>96</v>
      </c>
      <c r="H83" s="204">
        <v>1.8</v>
      </c>
      <c r="I83" s="204">
        <v>2.2999999999999998</v>
      </c>
    </row>
    <row r="84" spans="3:9" hidden="1" outlineLevel="1" x14ac:dyDescent="0.25">
      <c r="C84" s="768" t="s">
        <v>164</v>
      </c>
      <c r="D84" s="768">
        <v>7</v>
      </c>
      <c r="E84" s="203" t="s">
        <v>238</v>
      </c>
      <c r="F84" s="203" t="s">
        <v>238</v>
      </c>
      <c r="G84" s="203" t="s">
        <v>238</v>
      </c>
      <c r="H84" s="204" t="s">
        <v>238</v>
      </c>
      <c r="I84" s="204" t="s">
        <v>238</v>
      </c>
    </row>
    <row r="85" spans="3:9" hidden="1" outlineLevel="1" x14ac:dyDescent="0.25">
      <c r="C85" s="768" t="s">
        <v>166</v>
      </c>
      <c r="D85" s="768">
        <v>9</v>
      </c>
      <c r="E85" s="203">
        <v>2.6</v>
      </c>
      <c r="F85" s="203">
        <v>1.04</v>
      </c>
      <c r="G85" s="202">
        <v>81</v>
      </c>
      <c r="H85" s="204">
        <v>2</v>
      </c>
      <c r="I85" s="204">
        <v>2.6</v>
      </c>
    </row>
    <row r="86" spans="3:9" hidden="1" outlineLevel="1" x14ac:dyDescent="0.25">
      <c r="C86" s="768" t="s">
        <v>165</v>
      </c>
      <c r="D86" s="768">
        <v>8</v>
      </c>
      <c r="E86" s="203">
        <v>2.6</v>
      </c>
      <c r="F86" s="203">
        <v>1.6</v>
      </c>
      <c r="G86" s="202">
        <v>103</v>
      </c>
      <c r="H86" s="204">
        <v>2</v>
      </c>
      <c r="I86" s="204">
        <v>2.6</v>
      </c>
    </row>
    <row r="87" spans="3:9" hidden="1" outlineLevel="1" x14ac:dyDescent="0.25">
      <c r="C87" s="366" t="s">
        <v>808</v>
      </c>
      <c r="D87" s="366">
        <v>116</v>
      </c>
      <c r="E87" s="203" t="s">
        <v>238</v>
      </c>
      <c r="F87" s="203" t="s">
        <v>238</v>
      </c>
      <c r="G87" s="205" t="s">
        <v>238</v>
      </c>
      <c r="H87" s="204" t="s">
        <v>238</v>
      </c>
      <c r="I87" s="204" t="s">
        <v>238</v>
      </c>
    </row>
    <row r="88" spans="3:9" hidden="1" outlineLevel="1" x14ac:dyDescent="0.25">
      <c r="C88" s="366" t="s">
        <v>809</v>
      </c>
      <c r="D88" s="366">
        <v>117</v>
      </c>
      <c r="E88" s="203" t="s">
        <v>238</v>
      </c>
      <c r="F88" s="203" t="s">
        <v>238</v>
      </c>
      <c r="G88" s="205" t="s">
        <v>238</v>
      </c>
      <c r="H88" s="204" t="s">
        <v>238</v>
      </c>
      <c r="I88" s="204" t="s">
        <v>238</v>
      </c>
    </row>
    <row r="89" spans="3:9" hidden="1" outlineLevel="1" x14ac:dyDescent="0.25">
      <c r="C89" s="366" t="s">
        <v>810</v>
      </c>
      <c r="D89" s="366">
        <v>115</v>
      </c>
      <c r="E89" s="203" t="s">
        <v>238</v>
      </c>
      <c r="F89" s="203" t="s">
        <v>238</v>
      </c>
      <c r="G89" s="205" t="s">
        <v>238</v>
      </c>
      <c r="H89" s="204" t="s">
        <v>238</v>
      </c>
      <c r="I89" s="204" t="s">
        <v>238</v>
      </c>
    </row>
    <row r="90" spans="3:9" hidden="1" outlineLevel="1" x14ac:dyDescent="0.25">
      <c r="C90" s="366" t="s">
        <v>811</v>
      </c>
      <c r="D90" s="366">
        <v>113</v>
      </c>
      <c r="E90" s="203" t="s">
        <v>238</v>
      </c>
      <c r="F90" s="203" t="s">
        <v>238</v>
      </c>
      <c r="G90" s="205" t="s">
        <v>238</v>
      </c>
      <c r="H90" s="204" t="s">
        <v>238</v>
      </c>
      <c r="I90" s="204" t="s">
        <v>238</v>
      </c>
    </row>
    <row r="91" spans="3:9" hidden="1" outlineLevel="1" x14ac:dyDescent="0.25">
      <c r="C91" s="366" t="s">
        <v>812</v>
      </c>
      <c r="D91" s="366">
        <v>114</v>
      </c>
      <c r="E91" s="203" t="s">
        <v>238</v>
      </c>
      <c r="F91" s="203" t="s">
        <v>238</v>
      </c>
      <c r="G91" s="205" t="s">
        <v>238</v>
      </c>
      <c r="H91" s="204" t="s">
        <v>238</v>
      </c>
      <c r="I91" s="204" t="s">
        <v>238</v>
      </c>
    </row>
    <row r="92" spans="3:9" hidden="1" outlineLevel="1" x14ac:dyDescent="0.25">
      <c r="C92" s="366" t="s">
        <v>813</v>
      </c>
      <c r="D92" s="366">
        <v>112</v>
      </c>
      <c r="E92" s="203" t="s">
        <v>238</v>
      </c>
      <c r="F92" s="203" t="s">
        <v>238</v>
      </c>
      <c r="G92" s="205" t="s">
        <v>238</v>
      </c>
      <c r="H92" s="204" t="s">
        <v>238</v>
      </c>
      <c r="I92" s="204" t="s">
        <v>238</v>
      </c>
    </row>
    <row r="93" spans="3:9" hidden="1" outlineLevel="1" x14ac:dyDescent="0.25">
      <c r="C93" s="768" t="s">
        <v>814</v>
      </c>
      <c r="D93" s="768">
        <v>90</v>
      </c>
      <c r="E93" s="203" t="s">
        <v>238</v>
      </c>
      <c r="F93" s="203" t="s">
        <v>238</v>
      </c>
      <c r="G93" s="205" t="s">
        <v>238</v>
      </c>
      <c r="H93" s="204" t="s">
        <v>238</v>
      </c>
      <c r="I93" s="204" t="s">
        <v>238</v>
      </c>
    </row>
    <row r="94" spans="3:9" hidden="1" outlineLevel="1" x14ac:dyDescent="0.25">
      <c r="C94" s="768" t="s">
        <v>815</v>
      </c>
      <c r="D94" s="768">
        <v>89</v>
      </c>
      <c r="E94" s="203" t="s">
        <v>238</v>
      </c>
      <c r="F94" s="203" t="s">
        <v>238</v>
      </c>
      <c r="G94" s="205" t="s">
        <v>238</v>
      </c>
      <c r="H94" s="204" t="s">
        <v>238</v>
      </c>
      <c r="I94" s="204" t="s">
        <v>238</v>
      </c>
    </row>
    <row r="95" spans="3:9" hidden="1" outlineLevel="1" x14ac:dyDescent="0.25">
      <c r="C95" s="768" t="s">
        <v>816</v>
      </c>
      <c r="D95" s="768">
        <v>88</v>
      </c>
      <c r="E95" s="203" t="s">
        <v>238</v>
      </c>
      <c r="F95" s="203" t="s">
        <v>238</v>
      </c>
      <c r="G95" s="205" t="s">
        <v>238</v>
      </c>
      <c r="H95" s="204" t="s">
        <v>238</v>
      </c>
      <c r="I95" s="204" t="s">
        <v>238</v>
      </c>
    </row>
    <row r="96" spans="3:9" hidden="1" outlineLevel="1" x14ac:dyDescent="0.25">
      <c r="C96" s="768" t="s">
        <v>817</v>
      </c>
      <c r="D96" s="768">
        <v>93</v>
      </c>
      <c r="E96" s="203" t="s">
        <v>238</v>
      </c>
      <c r="F96" s="203" t="s">
        <v>238</v>
      </c>
      <c r="G96" s="205" t="s">
        <v>238</v>
      </c>
      <c r="H96" s="204" t="s">
        <v>238</v>
      </c>
      <c r="I96" s="204" t="s">
        <v>238</v>
      </c>
    </row>
    <row r="97" spans="3:9" hidden="1" outlineLevel="1" x14ac:dyDescent="0.25">
      <c r="C97" s="768" t="s">
        <v>818</v>
      </c>
      <c r="D97" s="768">
        <v>92</v>
      </c>
      <c r="E97" s="203" t="s">
        <v>238</v>
      </c>
      <c r="F97" s="203" t="s">
        <v>238</v>
      </c>
      <c r="G97" s="205" t="s">
        <v>238</v>
      </c>
      <c r="H97" s="204" t="s">
        <v>238</v>
      </c>
      <c r="I97" s="204" t="s">
        <v>238</v>
      </c>
    </row>
    <row r="98" spans="3:9" hidden="1" outlineLevel="1" x14ac:dyDescent="0.25">
      <c r="C98" s="768" t="s">
        <v>819</v>
      </c>
      <c r="D98" s="768">
        <v>91</v>
      </c>
      <c r="E98" s="203" t="s">
        <v>238</v>
      </c>
      <c r="F98" s="203" t="s">
        <v>238</v>
      </c>
      <c r="G98" s="205" t="s">
        <v>238</v>
      </c>
      <c r="H98" s="204" t="s">
        <v>238</v>
      </c>
      <c r="I98" s="204" t="s">
        <v>238</v>
      </c>
    </row>
    <row r="99" spans="3:9" hidden="1" outlineLevel="1" x14ac:dyDescent="0.25">
      <c r="C99" s="768" t="s">
        <v>820</v>
      </c>
      <c r="D99" s="768">
        <v>87</v>
      </c>
      <c r="E99" s="203" t="s">
        <v>238</v>
      </c>
      <c r="F99" s="203" t="s">
        <v>238</v>
      </c>
      <c r="G99" s="205" t="s">
        <v>238</v>
      </c>
      <c r="H99" s="204" t="s">
        <v>238</v>
      </c>
      <c r="I99" s="204" t="s">
        <v>238</v>
      </c>
    </row>
    <row r="100" spans="3:9" hidden="1" outlineLevel="1" x14ac:dyDescent="0.25">
      <c r="C100" s="768" t="s">
        <v>821</v>
      </c>
      <c r="D100" s="768">
        <v>86</v>
      </c>
      <c r="E100" s="203" t="s">
        <v>238</v>
      </c>
      <c r="F100" s="203" t="s">
        <v>238</v>
      </c>
      <c r="G100" s="205" t="s">
        <v>238</v>
      </c>
      <c r="H100" s="204" t="s">
        <v>238</v>
      </c>
      <c r="I100" s="204" t="s">
        <v>238</v>
      </c>
    </row>
    <row r="101" spans="3:9" hidden="1" outlineLevel="1" x14ac:dyDescent="0.25">
      <c r="C101" s="768" t="s">
        <v>822</v>
      </c>
      <c r="D101" s="768">
        <v>85</v>
      </c>
      <c r="E101" s="203" t="s">
        <v>238</v>
      </c>
      <c r="F101" s="203" t="s">
        <v>238</v>
      </c>
      <c r="G101" s="205" t="s">
        <v>238</v>
      </c>
      <c r="H101" s="204" t="s">
        <v>238</v>
      </c>
      <c r="I101" s="204" t="s">
        <v>238</v>
      </c>
    </row>
    <row r="102" spans="3:9" hidden="1" outlineLevel="1" x14ac:dyDescent="0.25">
      <c r="C102" s="768" t="s">
        <v>823</v>
      </c>
      <c r="D102" s="768">
        <v>56</v>
      </c>
      <c r="E102" s="203" t="s">
        <v>238</v>
      </c>
      <c r="F102" s="203" t="s">
        <v>238</v>
      </c>
      <c r="G102" s="205" t="s">
        <v>238</v>
      </c>
      <c r="H102" s="204" t="s">
        <v>238</v>
      </c>
      <c r="I102" s="204" t="s">
        <v>238</v>
      </c>
    </row>
    <row r="103" spans="3:9" hidden="1" outlineLevel="1" x14ac:dyDescent="0.25">
      <c r="C103" s="768" t="s">
        <v>825</v>
      </c>
      <c r="D103" s="768">
        <v>57</v>
      </c>
      <c r="E103" s="203" t="s">
        <v>238</v>
      </c>
      <c r="F103" s="203" t="s">
        <v>238</v>
      </c>
      <c r="G103" s="205" t="s">
        <v>238</v>
      </c>
      <c r="H103" s="204" t="s">
        <v>238</v>
      </c>
      <c r="I103" s="204" t="s">
        <v>238</v>
      </c>
    </row>
    <row r="104" spans="3:9" hidden="1" outlineLevel="1" x14ac:dyDescent="0.25">
      <c r="C104" s="768" t="s">
        <v>824</v>
      </c>
      <c r="D104" s="768">
        <v>55</v>
      </c>
      <c r="E104" s="203" t="s">
        <v>238</v>
      </c>
      <c r="F104" s="203" t="s">
        <v>238</v>
      </c>
      <c r="G104" s="205" t="s">
        <v>238</v>
      </c>
      <c r="H104" s="204" t="s">
        <v>238</v>
      </c>
      <c r="I104" s="204" t="s">
        <v>238</v>
      </c>
    </row>
    <row r="105" spans="3:9" hidden="1" outlineLevel="1" x14ac:dyDescent="0.25">
      <c r="C105" s="768" t="s">
        <v>826</v>
      </c>
      <c r="D105" s="768">
        <v>53</v>
      </c>
      <c r="E105" s="203" t="s">
        <v>238</v>
      </c>
      <c r="F105" s="203" t="s">
        <v>238</v>
      </c>
      <c r="G105" s="205" t="s">
        <v>238</v>
      </c>
      <c r="H105" s="204" t="s">
        <v>238</v>
      </c>
      <c r="I105" s="204" t="s">
        <v>238</v>
      </c>
    </row>
    <row r="106" spans="3:9" hidden="1" outlineLevel="1" x14ac:dyDescent="0.25">
      <c r="C106" s="768" t="s">
        <v>827</v>
      </c>
      <c r="D106" s="768">
        <v>54</v>
      </c>
      <c r="E106" s="203" t="s">
        <v>238</v>
      </c>
      <c r="F106" s="203" t="s">
        <v>238</v>
      </c>
      <c r="G106" s="205" t="s">
        <v>238</v>
      </c>
      <c r="H106" s="204" t="s">
        <v>238</v>
      </c>
      <c r="I106" s="204" t="s">
        <v>238</v>
      </c>
    </row>
    <row r="107" spans="3:9" hidden="1" outlineLevel="1" x14ac:dyDescent="0.25">
      <c r="C107" s="768" t="s">
        <v>828</v>
      </c>
      <c r="D107" s="768">
        <v>52</v>
      </c>
      <c r="E107" s="203" t="s">
        <v>238</v>
      </c>
      <c r="F107" s="203" t="s">
        <v>238</v>
      </c>
      <c r="G107" s="205" t="s">
        <v>238</v>
      </c>
      <c r="H107" s="204" t="s">
        <v>238</v>
      </c>
      <c r="I107" s="204" t="s">
        <v>238</v>
      </c>
    </row>
    <row r="108" spans="3:9" hidden="1" outlineLevel="1" x14ac:dyDescent="0.25">
      <c r="C108" s="768" t="s">
        <v>829</v>
      </c>
      <c r="D108" s="768">
        <v>50</v>
      </c>
      <c r="E108" s="203" t="s">
        <v>238</v>
      </c>
      <c r="F108" s="203" t="s">
        <v>238</v>
      </c>
      <c r="G108" s="205" t="s">
        <v>238</v>
      </c>
      <c r="H108" s="204" t="s">
        <v>238</v>
      </c>
      <c r="I108" s="204" t="s">
        <v>238</v>
      </c>
    </row>
    <row r="109" spans="3:9" s="645" customFormat="1" hidden="1" outlineLevel="1" x14ac:dyDescent="0.25">
      <c r="C109" s="768" t="s">
        <v>830</v>
      </c>
      <c r="D109" s="768">
        <v>51</v>
      </c>
      <c r="E109" s="203" t="s">
        <v>238</v>
      </c>
      <c r="F109" s="203" t="s">
        <v>238</v>
      </c>
      <c r="G109" s="205" t="s">
        <v>238</v>
      </c>
      <c r="H109" s="204" t="s">
        <v>238</v>
      </c>
      <c r="I109" s="204" t="s">
        <v>238</v>
      </c>
    </row>
    <row r="110" spans="3:9" s="645" customFormat="1" hidden="1" outlineLevel="1" x14ac:dyDescent="0.25">
      <c r="C110" s="768" t="s">
        <v>831</v>
      </c>
      <c r="D110" s="768">
        <v>49</v>
      </c>
      <c r="E110" s="203" t="s">
        <v>238</v>
      </c>
      <c r="F110" s="203" t="s">
        <v>238</v>
      </c>
      <c r="G110" s="205" t="s">
        <v>238</v>
      </c>
      <c r="H110" s="204" t="s">
        <v>238</v>
      </c>
      <c r="I110" s="204" t="s">
        <v>238</v>
      </c>
    </row>
    <row r="111" spans="3:9" s="645" customFormat="1" hidden="1" outlineLevel="1" x14ac:dyDescent="0.25">
      <c r="C111" s="366" t="s">
        <v>1032</v>
      </c>
      <c r="D111" s="366">
        <v>116</v>
      </c>
      <c r="E111" s="203" t="s">
        <v>238</v>
      </c>
      <c r="F111" s="203" t="s">
        <v>238</v>
      </c>
      <c r="G111" s="205" t="s">
        <v>238</v>
      </c>
      <c r="H111" s="204" t="s">
        <v>238</v>
      </c>
      <c r="I111" s="204" t="s">
        <v>238</v>
      </c>
    </row>
    <row r="112" spans="3:9" hidden="1" outlineLevel="1" x14ac:dyDescent="0.25">
      <c r="C112" s="366" t="s">
        <v>1033</v>
      </c>
      <c r="D112" s="366">
        <v>117</v>
      </c>
      <c r="E112" s="203" t="s">
        <v>238</v>
      </c>
      <c r="F112" s="203" t="s">
        <v>238</v>
      </c>
      <c r="G112" s="205" t="s">
        <v>238</v>
      </c>
      <c r="H112" s="204" t="s">
        <v>238</v>
      </c>
      <c r="I112" s="204" t="s">
        <v>238</v>
      </c>
    </row>
    <row r="113" spans="3:9" hidden="1" outlineLevel="1" x14ac:dyDescent="0.25">
      <c r="C113" s="366" t="s">
        <v>1034</v>
      </c>
      <c r="D113" s="366">
        <v>115</v>
      </c>
      <c r="E113" s="203" t="s">
        <v>238</v>
      </c>
      <c r="F113" s="203" t="s">
        <v>238</v>
      </c>
      <c r="G113" s="205" t="s">
        <v>238</v>
      </c>
      <c r="H113" s="204" t="s">
        <v>238</v>
      </c>
      <c r="I113" s="204" t="s">
        <v>238</v>
      </c>
    </row>
    <row r="114" spans="3:9" hidden="1" outlineLevel="1" x14ac:dyDescent="0.25">
      <c r="C114" s="366" t="s">
        <v>1035</v>
      </c>
      <c r="D114" s="366">
        <v>113</v>
      </c>
      <c r="E114" s="203" t="s">
        <v>238</v>
      </c>
      <c r="F114" s="203" t="s">
        <v>238</v>
      </c>
      <c r="G114" s="205" t="s">
        <v>238</v>
      </c>
      <c r="H114" s="204" t="s">
        <v>238</v>
      </c>
      <c r="I114" s="204" t="s">
        <v>238</v>
      </c>
    </row>
    <row r="115" spans="3:9" hidden="1" outlineLevel="1" x14ac:dyDescent="0.25">
      <c r="C115" s="366" t="s">
        <v>1036</v>
      </c>
      <c r="D115" s="366">
        <v>114</v>
      </c>
      <c r="E115" s="203" t="s">
        <v>238</v>
      </c>
      <c r="F115" s="203" t="s">
        <v>238</v>
      </c>
      <c r="G115" s="205" t="s">
        <v>238</v>
      </c>
      <c r="H115" s="204" t="s">
        <v>238</v>
      </c>
      <c r="I115" s="204" t="s">
        <v>238</v>
      </c>
    </row>
    <row r="116" spans="3:9" hidden="1" outlineLevel="1" x14ac:dyDescent="0.25">
      <c r="C116" s="366" t="s">
        <v>1037</v>
      </c>
      <c r="D116" s="366">
        <v>112</v>
      </c>
      <c r="E116" s="203" t="s">
        <v>238</v>
      </c>
      <c r="F116" s="203" t="s">
        <v>238</v>
      </c>
      <c r="G116" s="205" t="s">
        <v>238</v>
      </c>
      <c r="H116" s="204" t="s">
        <v>238</v>
      </c>
      <c r="I116" s="204" t="s">
        <v>238</v>
      </c>
    </row>
    <row r="117" spans="3:9" hidden="1" outlineLevel="1" x14ac:dyDescent="0.25">
      <c r="C117" s="366" t="s">
        <v>1038</v>
      </c>
      <c r="D117" s="366"/>
      <c r="E117" s="203" t="s">
        <v>238</v>
      </c>
      <c r="F117" s="203" t="s">
        <v>238</v>
      </c>
      <c r="G117" s="205" t="s">
        <v>238</v>
      </c>
      <c r="H117" s="204" t="s">
        <v>238</v>
      </c>
      <c r="I117" s="204" t="s">
        <v>238</v>
      </c>
    </row>
    <row r="118" spans="3:9" hidden="1" outlineLevel="1" x14ac:dyDescent="0.25">
      <c r="C118" s="366" t="s">
        <v>1039</v>
      </c>
      <c r="D118" s="366"/>
      <c r="E118" s="203" t="s">
        <v>238</v>
      </c>
      <c r="F118" s="203" t="s">
        <v>238</v>
      </c>
      <c r="G118" s="205" t="s">
        <v>238</v>
      </c>
      <c r="H118" s="204" t="s">
        <v>238</v>
      </c>
      <c r="I118" s="204" t="s">
        <v>238</v>
      </c>
    </row>
    <row r="119" spans="3:9" hidden="1" outlineLevel="1" x14ac:dyDescent="0.25">
      <c r="C119" s="366" t="s">
        <v>1040</v>
      </c>
      <c r="D119" s="366"/>
      <c r="E119" s="203" t="s">
        <v>238</v>
      </c>
      <c r="F119" s="203" t="s">
        <v>238</v>
      </c>
      <c r="G119" s="205" t="s">
        <v>238</v>
      </c>
      <c r="H119" s="204" t="s">
        <v>238</v>
      </c>
      <c r="I119" s="204" t="s">
        <v>238</v>
      </c>
    </row>
    <row r="120" spans="3:9" hidden="1" outlineLevel="1" x14ac:dyDescent="0.25">
      <c r="C120" s="768" t="s">
        <v>1041</v>
      </c>
      <c r="D120" s="768">
        <v>90</v>
      </c>
      <c r="E120" s="203" t="s">
        <v>238</v>
      </c>
      <c r="F120" s="203" t="s">
        <v>238</v>
      </c>
      <c r="G120" s="205" t="s">
        <v>238</v>
      </c>
      <c r="H120" s="204" t="s">
        <v>238</v>
      </c>
      <c r="I120" s="204" t="s">
        <v>238</v>
      </c>
    </row>
    <row r="121" spans="3:9" hidden="1" outlineLevel="1" x14ac:dyDescent="0.25">
      <c r="C121" s="768" t="s">
        <v>1042</v>
      </c>
      <c r="D121" s="768">
        <v>89</v>
      </c>
      <c r="E121" s="203" t="s">
        <v>238</v>
      </c>
      <c r="F121" s="203" t="s">
        <v>238</v>
      </c>
      <c r="G121" s="205" t="s">
        <v>238</v>
      </c>
      <c r="H121" s="204" t="s">
        <v>238</v>
      </c>
      <c r="I121" s="204" t="s">
        <v>238</v>
      </c>
    </row>
    <row r="122" spans="3:9" hidden="1" outlineLevel="1" x14ac:dyDescent="0.25">
      <c r="C122" s="768" t="s">
        <v>1043</v>
      </c>
      <c r="D122" s="768">
        <v>88</v>
      </c>
      <c r="E122" s="203" t="s">
        <v>238</v>
      </c>
      <c r="F122" s="203" t="s">
        <v>238</v>
      </c>
      <c r="G122" s="205" t="s">
        <v>238</v>
      </c>
      <c r="H122" s="204" t="s">
        <v>238</v>
      </c>
      <c r="I122" s="204" t="s">
        <v>238</v>
      </c>
    </row>
    <row r="123" spans="3:9" hidden="1" outlineLevel="1" x14ac:dyDescent="0.25">
      <c r="C123" s="768" t="s">
        <v>1044</v>
      </c>
      <c r="D123" s="768">
        <v>93</v>
      </c>
      <c r="E123" s="203" t="s">
        <v>238</v>
      </c>
      <c r="F123" s="203" t="s">
        <v>238</v>
      </c>
      <c r="G123" s="205" t="s">
        <v>238</v>
      </c>
      <c r="H123" s="204" t="s">
        <v>238</v>
      </c>
      <c r="I123" s="204" t="s">
        <v>238</v>
      </c>
    </row>
    <row r="124" spans="3:9" hidden="1" outlineLevel="1" x14ac:dyDescent="0.25">
      <c r="C124" s="768" t="s">
        <v>1045</v>
      </c>
      <c r="D124" s="768">
        <v>92</v>
      </c>
      <c r="E124" s="203" t="s">
        <v>238</v>
      </c>
      <c r="F124" s="203" t="s">
        <v>238</v>
      </c>
      <c r="G124" s="205" t="s">
        <v>238</v>
      </c>
      <c r="H124" s="204" t="s">
        <v>238</v>
      </c>
      <c r="I124" s="204" t="s">
        <v>238</v>
      </c>
    </row>
    <row r="125" spans="3:9" hidden="1" outlineLevel="1" x14ac:dyDescent="0.25">
      <c r="C125" s="768" t="s">
        <v>1046</v>
      </c>
      <c r="D125" s="768">
        <v>91</v>
      </c>
      <c r="E125" s="203" t="s">
        <v>238</v>
      </c>
      <c r="F125" s="203" t="s">
        <v>238</v>
      </c>
      <c r="G125" s="205" t="s">
        <v>238</v>
      </c>
      <c r="H125" s="204" t="s">
        <v>238</v>
      </c>
      <c r="I125" s="204" t="s">
        <v>238</v>
      </c>
    </row>
    <row r="126" spans="3:9" hidden="1" outlineLevel="1" x14ac:dyDescent="0.25">
      <c r="C126" s="768" t="s">
        <v>1047</v>
      </c>
      <c r="D126" s="768">
        <v>87</v>
      </c>
      <c r="E126" s="203" t="s">
        <v>238</v>
      </c>
      <c r="F126" s="203" t="s">
        <v>238</v>
      </c>
      <c r="G126" s="205" t="s">
        <v>238</v>
      </c>
      <c r="H126" s="204" t="s">
        <v>238</v>
      </c>
      <c r="I126" s="204" t="s">
        <v>238</v>
      </c>
    </row>
    <row r="127" spans="3:9" hidden="1" outlineLevel="1" x14ac:dyDescent="0.25">
      <c r="C127" s="768" t="s">
        <v>1048</v>
      </c>
      <c r="D127" s="768">
        <v>86</v>
      </c>
      <c r="E127" s="203" t="s">
        <v>238</v>
      </c>
      <c r="F127" s="203" t="s">
        <v>238</v>
      </c>
      <c r="G127" s="205" t="s">
        <v>238</v>
      </c>
      <c r="H127" s="204" t="s">
        <v>238</v>
      </c>
      <c r="I127" s="204" t="s">
        <v>238</v>
      </c>
    </row>
    <row r="128" spans="3:9" hidden="1" outlineLevel="1" x14ac:dyDescent="0.25">
      <c r="C128" s="768" t="s">
        <v>1049</v>
      </c>
      <c r="D128" s="768">
        <v>85</v>
      </c>
      <c r="E128" s="203" t="s">
        <v>238</v>
      </c>
      <c r="F128" s="203" t="s">
        <v>238</v>
      </c>
      <c r="G128" s="205" t="s">
        <v>238</v>
      </c>
      <c r="H128" s="204" t="s">
        <v>238</v>
      </c>
      <c r="I128" s="204" t="s">
        <v>238</v>
      </c>
    </row>
    <row r="129" spans="3:9" hidden="1" outlineLevel="1" x14ac:dyDescent="0.25">
      <c r="C129" s="768" t="s">
        <v>1050</v>
      </c>
      <c r="D129" s="768">
        <v>56</v>
      </c>
      <c r="E129" s="203" t="s">
        <v>238</v>
      </c>
      <c r="F129" s="203" t="s">
        <v>238</v>
      </c>
      <c r="G129" s="205" t="s">
        <v>238</v>
      </c>
      <c r="H129" s="204" t="s">
        <v>238</v>
      </c>
      <c r="I129" s="204" t="s">
        <v>238</v>
      </c>
    </row>
    <row r="130" spans="3:9" hidden="1" outlineLevel="1" x14ac:dyDescent="0.25">
      <c r="C130" s="768" t="s">
        <v>1051</v>
      </c>
      <c r="D130" s="768">
        <v>57</v>
      </c>
      <c r="E130" s="203" t="s">
        <v>238</v>
      </c>
      <c r="F130" s="203" t="s">
        <v>238</v>
      </c>
      <c r="G130" s="205" t="s">
        <v>238</v>
      </c>
      <c r="H130" s="204" t="s">
        <v>238</v>
      </c>
      <c r="I130" s="204" t="s">
        <v>238</v>
      </c>
    </row>
    <row r="131" spans="3:9" hidden="1" outlineLevel="1" x14ac:dyDescent="0.25">
      <c r="C131" s="768" t="s">
        <v>1052</v>
      </c>
      <c r="D131" s="768">
        <v>55</v>
      </c>
      <c r="E131" s="203" t="s">
        <v>238</v>
      </c>
      <c r="F131" s="203" t="s">
        <v>238</v>
      </c>
      <c r="G131" s="205" t="s">
        <v>238</v>
      </c>
      <c r="H131" s="204" t="s">
        <v>238</v>
      </c>
      <c r="I131" s="204" t="s">
        <v>238</v>
      </c>
    </row>
    <row r="132" spans="3:9" hidden="1" outlineLevel="1" x14ac:dyDescent="0.25">
      <c r="C132" s="768" t="s">
        <v>1053</v>
      </c>
      <c r="D132" s="768">
        <v>53</v>
      </c>
      <c r="E132" s="203" t="s">
        <v>238</v>
      </c>
      <c r="F132" s="203" t="s">
        <v>238</v>
      </c>
      <c r="G132" s="205" t="s">
        <v>238</v>
      </c>
      <c r="H132" s="204" t="s">
        <v>238</v>
      </c>
      <c r="I132" s="204" t="s">
        <v>238</v>
      </c>
    </row>
    <row r="133" spans="3:9" hidden="1" outlineLevel="1" x14ac:dyDescent="0.25">
      <c r="C133" s="768" t="s">
        <v>1054</v>
      </c>
      <c r="D133" s="768">
        <v>54</v>
      </c>
      <c r="E133" s="203" t="s">
        <v>238</v>
      </c>
      <c r="F133" s="203" t="s">
        <v>238</v>
      </c>
      <c r="G133" s="205" t="s">
        <v>238</v>
      </c>
      <c r="H133" s="204" t="s">
        <v>238</v>
      </c>
      <c r="I133" s="204" t="s">
        <v>238</v>
      </c>
    </row>
    <row r="134" spans="3:9" hidden="1" outlineLevel="1" x14ac:dyDescent="0.25">
      <c r="C134" s="768" t="s">
        <v>1055</v>
      </c>
      <c r="D134" s="768">
        <v>52</v>
      </c>
      <c r="E134" s="203" t="s">
        <v>238</v>
      </c>
      <c r="F134" s="203" t="s">
        <v>238</v>
      </c>
      <c r="G134" s="205" t="s">
        <v>238</v>
      </c>
      <c r="H134" s="204" t="s">
        <v>238</v>
      </c>
      <c r="I134" s="204" t="s">
        <v>238</v>
      </c>
    </row>
    <row r="135" spans="3:9" s="645" customFormat="1" hidden="1" outlineLevel="1" x14ac:dyDescent="0.25">
      <c r="C135" s="768" t="s">
        <v>1056</v>
      </c>
      <c r="D135" s="768">
        <v>50</v>
      </c>
      <c r="E135" s="203" t="s">
        <v>238</v>
      </c>
      <c r="F135" s="203" t="s">
        <v>238</v>
      </c>
      <c r="G135" s="205" t="s">
        <v>238</v>
      </c>
      <c r="H135" s="204" t="s">
        <v>238</v>
      </c>
      <c r="I135" s="204" t="s">
        <v>238</v>
      </c>
    </row>
    <row r="136" spans="3:9" s="645" customFormat="1" hidden="1" outlineLevel="1" x14ac:dyDescent="0.25">
      <c r="C136" s="768" t="s">
        <v>1057</v>
      </c>
      <c r="D136" s="768">
        <v>51</v>
      </c>
      <c r="E136" s="203" t="s">
        <v>238</v>
      </c>
      <c r="F136" s="203" t="s">
        <v>238</v>
      </c>
      <c r="G136" s="205" t="s">
        <v>238</v>
      </c>
      <c r="H136" s="204" t="s">
        <v>238</v>
      </c>
      <c r="I136" s="204" t="s">
        <v>238</v>
      </c>
    </row>
    <row r="137" spans="3:9" s="645" customFormat="1" hidden="1" outlineLevel="1" x14ac:dyDescent="0.25">
      <c r="C137" s="768" t="s">
        <v>1058</v>
      </c>
      <c r="D137" s="768">
        <v>49</v>
      </c>
      <c r="E137" s="203" t="s">
        <v>238</v>
      </c>
      <c r="F137" s="203" t="s">
        <v>238</v>
      </c>
      <c r="G137" s="205" t="s">
        <v>238</v>
      </c>
      <c r="H137" s="204" t="s">
        <v>238</v>
      </c>
      <c r="I137" s="204" t="s">
        <v>238</v>
      </c>
    </row>
    <row r="138" spans="3:9" hidden="1" outlineLevel="1" x14ac:dyDescent="0.25">
      <c r="C138" s="366" t="s">
        <v>1005</v>
      </c>
      <c r="D138" s="366">
        <v>116</v>
      </c>
      <c r="E138" s="203" t="s">
        <v>238</v>
      </c>
      <c r="F138" s="203" t="s">
        <v>238</v>
      </c>
      <c r="G138" s="205" t="s">
        <v>238</v>
      </c>
      <c r="H138" s="204" t="s">
        <v>238</v>
      </c>
      <c r="I138" s="204" t="s">
        <v>238</v>
      </c>
    </row>
    <row r="139" spans="3:9" hidden="1" outlineLevel="1" x14ac:dyDescent="0.25">
      <c r="C139" s="366" t="s">
        <v>1006</v>
      </c>
      <c r="D139" s="366">
        <v>117</v>
      </c>
      <c r="E139" s="203" t="s">
        <v>238</v>
      </c>
      <c r="F139" s="203" t="s">
        <v>238</v>
      </c>
      <c r="G139" s="205" t="s">
        <v>238</v>
      </c>
      <c r="H139" s="204" t="s">
        <v>238</v>
      </c>
      <c r="I139" s="204" t="s">
        <v>238</v>
      </c>
    </row>
    <row r="140" spans="3:9" hidden="1" outlineLevel="1" x14ac:dyDescent="0.25">
      <c r="C140" s="366" t="s">
        <v>1007</v>
      </c>
      <c r="D140" s="366">
        <v>115</v>
      </c>
      <c r="E140" s="203" t="s">
        <v>238</v>
      </c>
      <c r="F140" s="203" t="s">
        <v>238</v>
      </c>
      <c r="G140" s="205" t="s">
        <v>238</v>
      </c>
      <c r="H140" s="204" t="s">
        <v>238</v>
      </c>
      <c r="I140" s="204" t="s">
        <v>238</v>
      </c>
    </row>
    <row r="141" spans="3:9" hidden="1" outlineLevel="1" x14ac:dyDescent="0.25">
      <c r="C141" s="366" t="s">
        <v>1008</v>
      </c>
      <c r="D141" s="366">
        <v>113</v>
      </c>
      <c r="E141" s="203" t="s">
        <v>238</v>
      </c>
      <c r="F141" s="203" t="s">
        <v>238</v>
      </c>
      <c r="G141" s="205" t="s">
        <v>238</v>
      </c>
      <c r="H141" s="204" t="s">
        <v>238</v>
      </c>
      <c r="I141" s="204" t="s">
        <v>238</v>
      </c>
    </row>
    <row r="142" spans="3:9" hidden="1" outlineLevel="1" x14ac:dyDescent="0.25">
      <c r="C142" s="366" t="s">
        <v>1009</v>
      </c>
      <c r="D142" s="366">
        <v>114</v>
      </c>
      <c r="E142" s="203" t="s">
        <v>238</v>
      </c>
      <c r="F142" s="203" t="s">
        <v>238</v>
      </c>
      <c r="G142" s="205" t="s">
        <v>238</v>
      </c>
      <c r="H142" s="204" t="s">
        <v>238</v>
      </c>
      <c r="I142" s="204" t="s">
        <v>238</v>
      </c>
    </row>
    <row r="143" spans="3:9" hidden="1" outlineLevel="1" x14ac:dyDescent="0.25">
      <c r="C143" s="366" t="s">
        <v>1010</v>
      </c>
      <c r="D143" s="366">
        <v>112</v>
      </c>
      <c r="E143" s="203" t="s">
        <v>238</v>
      </c>
      <c r="F143" s="203" t="s">
        <v>238</v>
      </c>
      <c r="G143" s="205" t="s">
        <v>238</v>
      </c>
      <c r="H143" s="204" t="s">
        <v>238</v>
      </c>
      <c r="I143" s="204" t="s">
        <v>238</v>
      </c>
    </row>
    <row r="144" spans="3:9" hidden="1" outlineLevel="1" x14ac:dyDescent="0.25">
      <c r="C144" s="366" t="s">
        <v>1011</v>
      </c>
      <c r="D144" s="366"/>
      <c r="E144" s="203" t="s">
        <v>238</v>
      </c>
      <c r="F144" s="203" t="s">
        <v>238</v>
      </c>
      <c r="G144" s="205" t="s">
        <v>238</v>
      </c>
      <c r="H144" s="204" t="s">
        <v>238</v>
      </c>
      <c r="I144" s="204" t="s">
        <v>238</v>
      </c>
    </row>
    <row r="145" spans="3:9" hidden="1" outlineLevel="1" x14ac:dyDescent="0.25">
      <c r="C145" s="366" t="s">
        <v>1012</v>
      </c>
      <c r="D145" s="366"/>
      <c r="E145" s="203" t="s">
        <v>238</v>
      </c>
      <c r="F145" s="203" t="s">
        <v>238</v>
      </c>
      <c r="G145" s="205" t="s">
        <v>238</v>
      </c>
      <c r="H145" s="204" t="s">
        <v>238</v>
      </c>
      <c r="I145" s="204" t="s">
        <v>238</v>
      </c>
    </row>
    <row r="146" spans="3:9" hidden="1" outlineLevel="1" x14ac:dyDescent="0.25">
      <c r="C146" s="366" t="s">
        <v>1013</v>
      </c>
      <c r="D146" s="366"/>
      <c r="E146" s="203" t="s">
        <v>238</v>
      </c>
      <c r="F146" s="203" t="s">
        <v>238</v>
      </c>
      <c r="G146" s="205" t="s">
        <v>238</v>
      </c>
      <c r="H146" s="204" t="s">
        <v>238</v>
      </c>
      <c r="I146" s="204" t="s">
        <v>238</v>
      </c>
    </row>
    <row r="147" spans="3:9" hidden="1" outlineLevel="1" x14ac:dyDescent="0.25">
      <c r="C147" s="769" t="s">
        <v>1119</v>
      </c>
      <c r="D147" s="768"/>
      <c r="E147" s="770">
        <v>1.28833858060262</v>
      </c>
      <c r="F147" s="770">
        <f t="shared" ref="F147:F155" si="1">F183-0.08</f>
        <v>0.80000000000000016</v>
      </c>
      <c r="G147" s="771">
        <f t="shared" ref="G147:G155" si="2">G183-7</f>
        <v>48</v>
      </c>
      <c r="H147" s="770">
        <v>1</v>
      </c>
      <c r="I147" s="770">
        <v>0.8</v>
      </c>
    </row>
    <row r="148" spans="3:9" hidden="1" outlineLevel="1" x14ac:dyDescent="0.25">
      <c r="C148" s="769" t="s">
        <v>1120</v>
      </c>
      <c r="D148" s="769"/>
      <c r="E148" s="770">
        <v>1.41558189720535</v>
      </c>
      <c r="F148" s="770">
        <f t="shared" si="1"/>
        <v>0.75000000000000011</v>
      </c>
      <c r="G148" s="771">
        <f t="shared" si="2"/>
        <v>44</v>
      </c>
      <c r="H148" s="770">
        <v>1</v>
      </c>
      <c r="I148" s="770">
        <v>0.8</v>
      </c>
    </row>
    <row r="149" spans="3:9" hidden="1" outlineLevel="1" x14ac:dyDescent="0.25">
      <c r="C149" s="769" t="s">
        <v>1121</v>
      </c>
      <c r="D149" s="769"/>
      <c r="E149" s="770">
        <v>1.54282521380808</v>
      </c>
      <c r="F149" s="770">
        <f t="shared" si="1"/>
        <v>0.71000000000000008</v>
      </c>
      <c r="G149" s="771">
        <f t="shared" si="2"/>
        <v>41</v>
      </c>
      <c r="H149" s="770">
        <v>1</v>
      </c>
      <c r="I149" s="770">
        <v>0.8</v>
      </c>
    </row>
    <row r="150" spans="3:9" hidden="1" outlineLevel="1" x14ac:dyDescent="0.25">
      <c r="C150" s="769" t="s">
        <v>1116</v>
      </c>
      <c r="D150" s="768"/>
      <c r="E150" s="770">
        <v>1.28833858060262</v>
      </c>
      <c r="F150" s="770">
        <f t="shared" si="1"/>
        <v>1.0799999999999998</v>
      </c>
      <c r="G150" s="771">
        <f t="shared" si="2"/>
        <v>59</v>
      </c>
      <c r="H150" s="770">
        <v>1</v>
      </c>
      <c r="I150" s="770">
        <v>0.8</v>
      </c>
    </row>
    <row r="151" spans="3:9" hidden="1" outlineLevel="1" x14ac:dyDescent="0.25">
      <c r="C151" s="769" t="s">
        <v>1117</v>
      </c>
      <c r="D151" s="768"/>
      <c r="E151" s="770">
        <v>1.41558189720535</v>
      </c>
      <c r="F151" s="770">
        <f t="shared" si="1"/>
        <v>1.0299999999999998</v>
      </c>
      <c r="G151" s="771">
        <f t="shared" si="2"/>
        <v>55</v>
      </c>
      <c r="H151" s="770">
        <v>1</v>
      </c>
      <c r="I151" s="770">
        <v>0.8</v>
      </c>
    </row>
    <row r="152" spans="3:9" hidden="1" outlineLevel="1" x14ac:dyDescent="0.25">
      <c r="C152" s="769" t="s">
        <v>1118</v>
      </c>
      <c r="D152" s="768"/>
      <c r="E152" s="770">
        <v>1.54282521380808</v>
      </c>
      <c r="F152" s="770">
        <f t="shared" si="1"/>
        <v>0.98999999999999988</v>
      </c>
      <c r="G152" s="771">
        <f t="shared" si="2"/>
        <v>52</v>
      </c>
      <c r="H152" s="770">
        <v>1</v>
      </c>
      <c r="I152" s="770">
        <v>0.8</v>
      </c>
    </row>
    <row r="153" spans="3:9" hidden="1" outlineLevel="1" x14ac:dyDescent="0.25">
      <c r="C153" s="769" t="s">
        <v>1099</v>
      </c>
      <c r="D153" s="768"/>
      <c r="E153" s="770">
        <v>1.28833858060262</v>
      </c>
      <c r="F153" s="770">
        <f t="shared" si="1"/>
        <v>1.3599999999999999</v>
      </c>
      <c r="G153" s="771">
        <f t="shared" si="2"/>
        <v>70</v>
      </c>
      <c r="H153" s="770">
        <v>1</v>
      </c>
      <c r="I153" s="770">
        <v>0.8</v>
      </c>
    </row>
    <row r="154" spans="3:9" hidden="1" outlineLevel="1" x14ac:dyDescent="0.25">
      <c r="C154" s="769" t="s">
        <v>1100</v>
      </c>
      <c r="D154" s="768"/>
      <c r="E154" s="770">
        <v>1.41558189720535</v>
      </c>
      <c r="F154" s="770">
        <f t="shared" si="1"/>
        <v>1.3099999999999998</v>
      </c>
      <c r="G154" s="771">
        <f t="shared" si="2"/>
        <v>66</v>
      </c>
      <c r="H154" s="770">
        <v>1</v>
      </c>
      <c r="I154" s="770">
        <v>0.8</v>
      </c>
    </row>
    <row r="155" spans="3:9" hidden="1" outlineLevel="1" x14ac:dyDescent="0.25">
      <c r="C155" s="769" t="s">
        <v>1101</v>
      </c>
      <c r="D155" s="768"/>
      <c r="E155" s="770">
        <v>1.54282521380808</v>
      </c>
      <c r="F155" s="770">
        <f t="shared" si="1"/>
        <v>1.2699999999999998</v>
      </c>
      <c r="G155" s="771">
        <f t="shared" si="2"/>
        <v>63</v>
      </c>
      <c r="H155" s="770">
        <v>1</v>
      </c>
      <c r="I155" s="770">
        <v>0.8</v>
      </c>
    </row>
    <row r="156" spans="3:9" hidden="1" outlineLevel="1" x14ac:dyDescent="0.25">
      <c r="C156" s="768" t="s">
        <v>1014</v>
      </c>
      <c r="D156" s="768">
        <v>90</v>
      </c>
      <c r="E156" s="203" t="s">
        <v>238</v>
      </c>
      <c r="F156" s="203" t="s">
        <v>238</v>
      </c>
      <c r="G156" s="205" t="s">
        <v>238</v>
      </c>
      <c r="H156" s="204" t="s">
        <v>238</v>
      </c>
      <c r="I156" s="204" t="s">
        <v>238</v>
      </c>
    </row>
    <row r="157" spans="3:9" hidden="1" outlineLevel="1" x14ac:dyDescent="0.25">
      <c r="C157" s="768" t="s">
        <v>1015</v>
      </c>
      <c r="D157" s="768">
        <v>89</v>
      </c>
      <c r="E157" s="203" t="s">
        <v>238</v>
      </c>
      <c r="F157" s="203" t="s">
        <v>238</v>
      </c>
      <c r="G157" s="205" t="s">
        <v>238</v>
      </c>
      <c r="H157" s="204" t="s">
        <v>238</v>
      </c>
      <c r="I157" s="204" t="s">
        <v>238</v>
      </c>
    </row>
    <row r="158" spans="3:9" hidden="1" outlineLevel="1" x14ac:dyDescent="0.25">
      <c r="C158" s="768" t="s">
        <v>1016</v>
      </c>
      <c r="D158" s="768">
        <v>88</v>
      </c>
      <c r="E158" s="203" t="s">
        <v>238</v>
      </c>
      <c r="F158" s="203" t="s">
        <v>238</v>
      </c>
      <c r="G158" s="205" t="s">
        <v>238</v>
      </c>
      <c r="H158" s="204" t="s">
        <v>238</v>
      </c>
      <c r="I158" s="204" t="s">
        <v>238</v>
      </c>
    </row>
    <row r="159" spans="3:9" hidden="1" outlineLevel="1" x14ac:dyDescent="0.25">
      <c r="C159" s="768" t="s">
        <v>1017</v>
      </c>
      <c r="D159" s="768">
        <v>93</v>
      </c>
      <c r="E159" s="203" t="s">
        <v>238</v>
      </c>
      <c r="F159" s="203" t="s">
        <v>238</v>
      </c>
      <c r="G159" s="205" t="s">
        <v>238</v>
      </c>
      <c r="H159" s="204" t="s">
        <v>238</v>
      </c>
      <c r="I159" s="204" t="s">
        <v>238</v>
      </c>
    </row>
    <row r="160" spans="3:9" hidden="1" outlineLevel="1" x14ac:dyDescent="0.25">
      <c r="C160" s="768" t="s">
        <v>1018</v>
      </c>
      <c r="D160" s="768">
        <v>92</v>
      </c>
      <c r="E160" s="203" t="s">
        <v>238</v>
      </c>
      <c r="F160" s="203" t="s">
        <v>238</v>
      </c>
      <c r="G160" s="205" t="s">
        <v>238</v>
      </c>
      <c r="H160" s="204" t="s">
        <v>238</v>
      </c>
      <c r="I160" s="204" t="s">
        <v>238</v>
      </c>
    </row>
    <row r="161" spans="3:9" hidden="1" outlineLevel="1" x14ac:dyDescent="0.25">
      <c r="C161" s="768" t="s">
        <v>1019</v>
      </c>
      <c r="D161" s="768">
        <v>91</v>
      </c>
      <c r="E161" s="203" t="s">
        <v>238</v>
      </c>
      <c r="F161" s="203" t="s">
        <v>238</v>
      </c>
      <c r="G161" s="205" t="s">
        <v>238</v>
      </c>
      <c r="H161" s="204" t="s">
        <v>238</v>
      </c>
      <c r="I161" s="204" t="s">
        <v>238</v>
      </c>
    </row>
    <row r="162" spans="3:9" s="645" customFormat="1" hidden="1" outlineLevel="1" x14ac:dyDescent="0.25">
      <c r="C162" s="768" t="s">
        <v>1020</v>
      </c>
      <c r="D162" s="768">
        <v>87</v>
      </c>
      <c r="E162" s="203" t="s">
        <v>238</v>
      </c>
      <c r="F162" s="203" t="s">
        <v>238</v>
      </c>
      <c r="G162" s="205" t="s">
        <v>238</v>
      </c>
      <c r="H162" s="204" t="s">
        <v>238</v>
      </c>
      <c r="I162" s="204" t="s">
        <v>238</v>
      </c>
    </row>
    <row r="163" spans="3:9" s="645" customFormat="1" hidden="1" outlineLevel="1" x14ac:dyDescent="0.25">
      <c r="C163" s="768" t="s">
        <v>1021</v>
      </c>
      <c r="D163" s="768">
        <v>86</v>
      </c>
      <c r="E163" s="203" t="s">
        <v>238</v>
      </c>
      <c r="F163" s="203" t="s">
        <v>238</v>
      </c>
      <c r="G163" s="205" t="s">
        <v>238</v>
      </c>
      <c r="H163" s="204" t="s">
        <v>238</v>
      </c>
      <c r="I163" s="204" t="s">
        <v>238</v>
      </c>
    </row>
    <row r="164" spans="3:9" s="645" customFormat="1" hidden="1" outlineLevel="1" x14ac:dyDescent="0.25">
      <c r="C164" s="768" t="s">
        <v>1022</v>
      </c>
      <c r="D164" s="768">
        <v>85</v>
      </c>
      <c r="E164" s="203" t="s">
        <v>238</v>
      </c>
      <c r="F164" s="203" t="s">
        <v>238</v>
      </c>
      <c r="G164" s="205" t="s">
        <v>238</v>
      </c>
      <c r="H164" s="204" t="s">
        <v>238</v>
      </c>
      <c r="I164" s="204" t="s">
        <v>238</v>
      </c>
    </row>
    <row r="165" spans="3:9" hidden="1" outlineLevel="1" x14ac:dyDescent="0.25">
      <c r="C165" s="768" t="s">
        <v>1023</v>
      </c>
      <c r="D165" s="768">
        <v>56</v>
      </c>
      <c r="E165" s="203" t="s">
        <v>238</v>
      </c>
      <c r="F165" s="203" t="s">
        <v>238</v>
      </c>
      <c r="G165" s="205" t="s">
        <v>238</v>
      </c>
      <c r="H165" s="204" t="s">
        <v>238</v>
      </c>
      <c r="I165" s="204" t="s">
        <v>238</v>
      </c>
    </row>
    <row r="166" spans="3:9" hidden="1" outlineLevel="1" x14ac:dyDescent="0.25">
      <c r="C166" s="768" t="s">
        <v>1024</v>
      </c>
      <c r="D166" s="768">
        <v>57</v>
      </c>
      <c r="E166" s="203" t="s">
        <v>238</v>
      </c>
      <c r="F166" s="203" t="s">
        <v>238</v>
      </c>
      <c r="G166" s="205" t="s">
        <v>238</v>
      </c>
      <c r="H166" s="204" t="s">
        <v>238</v>
      </c>
      <c r="I166" s="204" t="s">
        <v>238</v>
      </c>
    </row>
    <row r="167" spans="3:9" hidden="1" outlineLevel="1" x14ac:dyDescent="0.25">
      <c r="C167" s="768" t="s">
        <v>1025</v>
      </c>
      <c r="D167" s="768">
        <v>55</v>
      </c>
      <c r="E167" s="203" t="s">
        <v>238</v>
      </c>
      <c r="F167" s="203" t="s">
        <v>238</v>
      </c>
      <c r="G167" s="205" t="s">
        <v>238</v>
      </c>
      <c r="H167" s="204" t="s">
        <v>238</v>
      </c>
      <c r="I167" s="204" t="s">
        <v>238</v>
      </c>
    </row>
    <row r="168" spans="3:9" hidden="1" outlineLevel="1" x14ac:dyDescent="0.25">
      <c r="C168" s="768" t="s">
        <v>1026</v>
      </c>
      <c r="D168" s="768">
        <v>53</v>
      </c>
      <c r="E168" s="203" t="s">
        <v>238</v>
      </c>
      <c r="F168" s="203" t="s">
        <v>238</v>
      </c>
      <c r="G168" s="205" t="s">
        <v>238</v>
      </c>
      <c r="H168" s="204" t="s">
        <v>238</v>
      </c>
      <c r="I168" s="204" t="s">
        <v>238</v>
      </c>
    </row>
    <row r="169" spans="3:9" hidden="1" outlineLevel="1" x14ac:dyDescent="0.25">
      <c r="C169" s="768" t="s">
        <v>1027</v>
      </c>
      <c r="D169" s="768">
        <v>54</v>
      </c>
      <c r="E169" s="203" t="s">
        <v>238</v>
      </c>
      <c r="F169" s="203" t="s">
        <v>238</v>
      </c>
      <c r="G169" s="205" t="s">
        <v>238</v>
      </c>
      <c r="H169" s="204" t="s">
        <v>238</v>
      </c>
      <c r="I169" s="204" t="s">
        <v>238</v>
      </c>
    </row>
    <row r="170" spans="3:9" hidden="1" outlineLevel="1" x14ac:dyDescent="0.25">
      <c r="C170" s="768" t="s">
        <v>1028</v>
      </c>
      <c r="D170" s="768">
        <v>52</v>
      </c>
      <c r="E170" s="203" t="s">
        <v>238</v>
      </c>
      <c r="F170" s="203" t="s">
        <v>238</v>
      </c>
      <c r="G170" s="205" t="s">
        <v>238</v>
      </c>
      <c r="H170" s="204" t="s">
        <v>238</v>
      </c>
      <c r="I170" s="204" t="s">
        <v>238</v>
      </c>
    </row>
    <row r="171" spans="3:9" hidden="1" outlineLevel="1" x14ac:dyDescent="0.25">
      <c r="C171" s="768" t="s">
        <v>1029</v>
      </c>
      <c r="D171" s="768">
        <v>50</v>
      </c>
      <c r="E171" s="203" t="s">
        <v>238</v>
      </c>
      <c r="F171" s="203" t="s">
        <v>238</v>
      </c>
      <c r="G171" s="205" t="s">
        <v>238</v>
      </c>
      <c r="H171" s="204" t="s">
        <v>238</v>
      </c>
      <c r="I171" s="204" t="s">
        <v>238</v>
      </c>
    </row>
    <row r="172" spans="3:9" hidden="1" outlineLevel="1" x14ac:dyDescent="0.25">
      <c r="C172" s="768" t="s">
        <v>1030</v>
      </c>
      <c r="D172" s="768">
        <v>51</v>
      </c>
      <c r="E172" s="203" t="s">
        <v>238</v>
      </c>
      <c r="F172" s="203" t="s">
        <v>238</v>
      </c>
      <c r="G172" s="205" t="s">
        <v>238</v>
      </c>
      <c r="H172" s="204" t="s">
        <v>238</v>
      </c>
      <c r="I172" s="204" t="s">
        <v>238</v>
      </c>
    </row>
    <row r="173" spans="3:9" hidden="1" outlineLevel="1" x14ac:dyDescent="0.25">
      <c r="C173" s="768" t="s">
        <v>1031</v>
      </c>
      <c r="D173" s="768">
        <v>49</v>
      </c>
      <c r="E173" s="203" t="s">
        <v>238</v>
      </c>
      <c r="F173" s="203" t="s">
        <v>238</v>
      </c>
      <c r="G173" s="205" t="s">
        <v>238</v>
      </c>
      <c r="H173" s="204" t="s">
        <v>238</v>
      </c>
      <c r="I173" s="204" t="s">
        <v>238</v>
      </c>
    </row>
    <row r="174" spans="3:9" hidden="1" outlineLevel="1" x14ac:dyDescent="0.25">
      <c r="C174" s="366" t="s">
        <v>479</v>
      </c>
      <c r="D174" s="366">
        <v>98</v>
      </c>
      <c r="E174" s="203">
        <v>2.5499999999999998</v>
      </c>
      <c r="F174" s="203">
        <v>2.0299999999999998</v>
      </c>
      <c r="G174" s="205">
        <v>202</v>
      </c>
      <c r="H174" s="204">
        <v>4.7</v>
      </c>
      <c r="I174" s="204">
        <v>5.3</v>
      </c>
    </row>
    <row r="175" spans="3:9" hidden="1" outlineLevel="1" x14ac:dyDescent="0.25">
      <c r="C175" s="366" t="s">
        <v>480</v>
      </c>
      <c r="D175" s="366">
        <v>99</v>
      </c>
      <c r="E175" s="203">
        <v>2.0499999999999998</v>
      </c>
      <c r="F175" s="203">
        <v>1.63</v>
      </c>
      <c r="G175" s="205">
        <v>157</v>
      </c>
      <c r="H175" s="204">
        <v>3.5</v>
      </c>
      <c r="I175" s="204">
        <v>3.8</v>
      </c>
    </row>
    <row r="176" spans="3:9" hidden="1" outlineLevel="1" x14ac:dyDescent="0.25">
      <c r="C176" s="366" t="s">
        <v>231</v>
      </c>
      <c r="D176" s="366">
        <v>97</v>
      </c>
      <c r="E176" s="203">
        <v>2</v>
      </c>
      <c r="F176" s="203">
        <v>2.2799999999999998</v>
      </c>
      <c r="G176" s="205">
        <v>227</v>
      </c>
      <c r="H176" s="204">
        <v>5.2</v>
      </c>
      <c r="I176" s="204">
        <v>5.9</v>
      </c>
    </row>
    <row r="177" spans="3:9" hidden="1" outlineLevel="1" x14ac:dyDescent="0.25">
      <c r="C177" s="366" t="s">
        <v>481</v>
      </c>
      <c r="D177" s="366">
        <v>95</v>
      </c>
      <c r="E177" s="203">
        <v>1.95</v>
      </c>
      <c r="F177" s="203">
        <v>1.33</v>
      </c>
      <c r="G177" s="205">
        <v>127</v>
      </c>
      <c r="H177" s="204">
        <v>3</v>
      </c>
      <c r="I177" s="204">
        <v>3.2</v>
      </c>
    </row>
    <row r="178" spans="3:9" hidden="1" outlineLevel="1" x14ac:dyDescent="0.25">
      <c r="C178" s="366" t="s">
        <v>482</v>
      </c>
      <c r="D178" s="366">
        <v>96</v>
      </c>
      <c r="E178" s="203">
        <v>1.7</v>
      </c>
      <c r="F178" s="203">
        <v>1.18</v>
      </c>
      <c r="G178" s="205">
        <v>107</v>
      </c>
      <c r="H178" s="204">
        <v>2.7</v>
      </c>
      <c r="I178" s="204">
        <v>3.5</v>
      </c>
    </row>
    <row r="179" spans="3:9" hidden="1" outlineLevel="1" x14ac:dyDescent="0.25">
      <c r="C179" s="366" t="s">
        <v>230</v>
      </c>
      <c r="D179" s="366">
        <v>94</v>
      </c>
      <c r="E179" s="203">
        <v>1.52</v>
      </c>
      <c r="F179" s="203">
        <v>1.53</v>
      </c>
      <c r="G179" s="205">
        <v>147</v>
      </c>
      <c r="H179" s="204">
        <v>3.4</v>
      </c>
      <c r="I179" s="204">
        <v>3.7</v>
      </c>
    </row>
    <row r="180" spans="3:9" hidden="1" outlineLevel="1" x14ac:dyDescent="0.25">
      <c r="C180" s="366" t="s">
        <v>875</v>
      </c>
      <c r="D180" s="366"/>
      <c r="E180" s="203" t="s">
        <v>238</v>
      </c>
      <c r="F180" s="203" t="s">
        <v>238</v>
      </c>
      <c r="G180" s="205" t="s">
        <v>238</v>
      </c>
      <c r="H180" s="204" t="s">
        <v>238</v>
      </c>
      <c r="I180" s="204" t="s">
        <v>238</v>
      </c>
    </row>
    <row r="181" spans="3:9" hidden="1" outlineLevel="1" x14ac:dyDescent="0.25">
      <c r="C181" s="366" t="s">
        <v>873</v>
      </c>
      <c r="D181" s="366"/>
      <c r="E181" s="203" t="s">
        <v>238</v>
      </c>
      <c r="F181" s="203" t="s">
        <v>238</v>
      </c>
      <c r="G181" s="205" t="s">
        <v>238</v>
      </c>
      <c r="H181" s="204" t="s">
        <v>238</v>
      </c>
      <c r="I181" s="204" t="s">
        <v>238</v>
      </c>
    </row>
    <row r="182" spans="3:9" hidden="1" outlineLevel="1" x14ac:dyDescent="0.25">
      <c r="C182" s="366" t="s">
        <v>874</v>
      </c>
      <c r="D182" s="366"/>
      <c r="E182" s="203" t="s">
        <v>238</v>
      </c>
      <c r="F182" s="203" t="s">
        <v>238</v>
      </c>
      <c r="G182" s="205" t="s">
        <v>238</v>
      </c>
      <c r="H182" s="204" t="s">
        <v>238</v>
      </c>
      <c r="I182" s="204" t="s">
        <v>238</v>
      </c>
    </row>
    <row r="183" spans="3:9" hidden="1" outlineLevel="1" x14ac:dyDescent="0.25">
      <c r="C183" s="769" t="s">
        <v>1122</v>
      </c>
      <c r="D183" s="768"/>
      <c r="E183" s="770">
        <v>1.5230442526999901</v>
      </c>
      <c r="F183" s="770">
        <f t="shared" ref="F183:F191" si="3">F219-0.08</f>
        <v>0.88000000000000012</v>
      </c>
      <c r="G183" s="771">
        <f t="shared" ref="G183:G191" si="4">G219-7</f>
        <v>55</v>
      </c>
      <c r="H183" s="770">
        <v>1.3</v>
      </c>
      <c r="I183" s="770">
        <v>1</v>
      </c>
    </row>
    <row r="184" spans="3:9" hidden="1" outlineLevel="1" x14ac:dyDescent="0.25">
      <c r="C184" s="769" t="s">
        <v>1123</v>
      </c>
      <c r="D184" s="768"/>
      <c r="E184" s="770">
        <v>1.6734683764234499</v>
      </c>
      <c r="F184" s="770">
        <f t="shared" si="3"/>
        <v>0.83000000000000007</v>
      </c>
      <c r="G184" s="771">
        <f t="shared" si="4"/>
        <v>51</v>
      </c>
      <c r="H184" s="770">
        <v>1.3</v>
      </c>
      <c r="I184" s="770">
        <v>1</v>
      </c>
    </row>
    <row r="185" spans="3:9" hidden="1" outlineLevel="1" x14ac:dyDescent="0.25">
      <c r="C185" s="769" t="s">
        <v>1124</v>
      </c>
      <c r="D185" s="768"/>
      <c r="E185" s="770">
        <v>1.8238925001469</v>
      </c>
      <c r="F185" s="770">
        <f t="shared" si="3"/>
        <v>0.79</v>
      </c>
      <c r="G185" s="771">
        <f t="shared" si="4"/>
        <v>48</v>
      </c>
      <c r="H185" s="770">
        <v>1.3</v>
      </c>
      <c r="I185" s="770">
        <v>1</v>
      </c>
    </row>
    <row r="186" spans="3:9" hidden="1" outlineLevel="1" x14ac:dyDescent="0.25">
      <c r="C186" s="769" t="s">
        <v>1134</v>
      </c>
      <c r="D186" s="768"/>
      <c r="E186" s="770">
        <v>1.5230442526999901</v>
      </c>
      <c r="F186" s="770">
        <f t="shared" si="3"/>
        <v>1.1599999999999999</v>
      </c>
      <c r="G186" s="771">
        <f t="shared" si="4"/>
        <v>66</v>
      </c>
      <c r="H186" s="770">
        <v>1.3</v>
      </c>
      <c r="I186" s="770">
        <v>1</v>
      </c>
    </row>
    <row r="187" spans="3:9" hidden="1" outlineLevel="1" x14ac:dyDescent="0.25">
      <c r="C187" s="769" t="s">
        <v>1135</v>
      </c>
      <c r="D187" s="768"/>
      <c r="E187" s="770">
        <v>1.6734683764234499</v>
      </c>
      <c r="F187" s="770">
        <f t="shared" si="3"/>
        <v>1.1099999999999999</v>
      </c>
      <c r="G187" s="771">
        <f t="shared" si="4"/>
        <v>62</v>
      </c>
      <c r="H187" s="770">
        <v>1.3</v>
      </c>
      <c r="I187" s="770">
        <v>1</v>
      </c>
    </row>
    <row r="188" spans="3:9" hidden="1" outlineLevel="1" x14ac:dyDescent="0.25">
      <c r="C188" s="769" t="s">
        <v>1136</v>
      </c>
      <c r="D188" s="768"/>
      <c r="E188" s="770">
        <v>1.8238925001469</v>
      </c>
      <c r="F188" s="770">
        <f t="shared" si="3"/>
        <v>1.0699999999999998</v>
      </c>
      <c r="G188" s="771">
        <f t="shared" si="4"/>
        <v>59</v>
      </c>
      <c r="H188" s="770">
        <v>1.3</v>
      </c>
      <c r="I188" s="770">
        <v>1</v>
      </c>
    </row>
    <row r="189" spans="3:9" s="645" customFormat="1" hidden="1" outlineLevel="1" x14ac:dyDescent="0.25">
      <c r="C189" s="769" t="s">
        <v>1102</v>
      </c>
      <c r="D189" s="768"/>
      <c r="E189" s="770">
        <v>1.5230442526999901</v>
      </c>
      <c r="F189" s="770">
        <f t="shared" si="3"/>
        <v>1.44</v>
      </c>
      <c r="G189" s="771">
        <f t="shared" si="4"/>
        <v>77</v>
      </c>
      <c r="H189" s="770">
        <v>1.3</v>
      </c>
      <c r="I189" s="770">
        <v>1</v>
      </c>
    </row>
    <row r="190" spans="3:9" s="645" customFormat="1" hidden="1" outlineLevel="1" x14ac:dyDescent="0.25">
      <c r="C190" s="769" t="s">
        <v>1103</v>
      </c>
      <c r="D190" s="768"/>
      <c r="E190" s="770">
        <v>1.6734683764234499</v>
      </c>
      <c r="F190" s="770">
        <f t="shared" si="3"/>
        <v>1.39</v>
      </c>
      <c r="G190" s="771">
        <f t="shared" si="4"/>
        <v>73</v>
      </c>
      <c r="H190" s="770">
        <v>1.3</v>
      </c>
      <c r="I190" s="770">
        <v>1</v>
      </c>
    </row>
    <row r="191" spans="3:9" s="645" customFormat="1" hidden="1" outlineLevel="1" x14ac:dyDescent="0.25">
      <c r="C191" s="769" t="s">
        <v>1104</v>
      </c>
      <c r="D191" s="768"/>
      <c r="E191" s="770">
        <v>1.8238925001469</v>
      </c>
      <c r="F191" s="770">
        <f t="shared" si="3"/>
        <v>1.3499999999999999</v>
      </c>
      <c r="G191" s="771">
        <f t="shared" si="4"/>
        <v>70</v>
      </c>
      <c r="H191" s="770">
        <v>1.3</v>
      </c>
      <c r="I191" s="770">
        <v>1</v>
      </c>
    </row>
    <row r="192" spans="3:9" hidden="1" outlineLevel="1" x14ac:dyDescent="0.25">
      <c r="C192" s="768" t="s">
        <v>209</v>
      </c>
      <c r="D192" s="768">
        <v>63</v>
      </c>
      <c r="E192" s="203">
        <v>1.2999999999999998</v>
      </c>
      <c r="F192" s="203">
        <v>1.26</v>
      </c>
      <c r="G192" s="202">
        <v>140</v>
      </c>
      <c r="H192" s="204">
        <v>2.9000000000000004</v>
      </c>
      <c r="I192" s="204">
        <v>3.8</v>
      </c>
    </row>
    <row r="193" spans="3:9" hidden="1" outlineLevel="1" x14ac:dyDescent="0.25">
      <c r="C193" s="768" t="s">
        <v>492</v>
      </c>
      <c r="D193" s="768">
        <v>62</v>
      </c>
      <c r="E193" s="203">
        <v>1.2999999999999998</v>
      </c>
      <c r="F193" s="203">
        <v>0.98</v>
      </c>
      <c r="G193" s="202">
        <v>114</v>
      </c>
      <c r="H193" s="204">
        <v>2.3000000000000003</v>
      </c>
      <c r="I193" s="204">
        <v>2.5999999999999996</v>
      </c>
    </row>
    <row r="194" spans="3:9" hidden="1" outlineLevel="1" x14ac:dyDescent="0.25">
      <c r="C194" s="768" t="s">
        <v>208</v>
      </c>
      <c r="D194" s="768">
        <v>61</v>
      </c>
      <c r="E194" s="203">
        <v>1.2999999999999998</v>
      </c>
      <c r="F194" s="203">
        <v>0.77999999999999992</v>
      </c>
      <c r="G194" s="202">
        <v>90</v>
      </c>
      <c r="H194" s="204">
        <v>1.9999999999999998</v>
      </c>
      <c r="I194" s="204">
        <v>2</v>
      </c>
    </row>
    <row r="195" spans="3:9" hidden="1" outlineLevel="1" x14ac:dyDescent="0.25">
      <c r="C195" s="768" t="s">
        <v>211</v>
      </c>
      <c r="D195" s="768">
        <v>66</v>
      </c>
      <c r="E195" s="203">
        <v>1.23</v>
      </c>
      <c r="F195" s="203">
        <v>1.1749999999999998</v>
      </c>
      <c r="G195" s="202">
        <v>129</v>
      </c>
      <c r="H195" s="204">
        <v>2.7</v>
      </c>
      <c r="I195" s="204">
        <v>3.4</v>
      </c>
    </row>
    <row r="196" spans="3:9" hidden="1" outlineLevel="1" x14ac:dyDescent="0.25">
      <c r="C196" s="768" t="s">
        <v>493</v>
      </c>
      <c r="D196" s="768">
        <v>65</v>
      </c>
      <c r="E196" s="203">
        <v>1.23</v>
      </c>
      <c r="F196" s="203">
        <v>0.93500000000000005</v>
      </c>
      <c r="G196" s="202">
        <v>109</v>
      </c>
      <c r="H196" s="204">
        <v>2.2000000000000002</v>
      </c>
      <c r="I196" s="204">
        <v>2.3999999999999995</v>
      </c>
    </row>
    <row r="197" spans="3:9" hidden="1" outlineLevel="1" x14ac:dyDescent="0.25">
      <c r="C197" s="768" t="s">
        <v>210</v>
      </c>
      <c r="D197" s="768">
        <v>64</v>
      </c>
      <c r="E197" s="203">
        <v>1.23</v>
      </c>
      <c r="F197" s="203">
        <v>0.77</v>
      </c>
      <c r="G197" s="202">
        <v>85</v>
      </c>
      <c r="H197" s="204">
        <v>1.95</v>
      </c>
      <c r="I197" s="204">
        <v>1.85</v>
      </c>
    </row>
    <row r="198" spans="3:9" hidden="1" outlineLevel="1" x14ac:dyDescent="0.25">
      <c r="C198" s="768" t="s">
        <v>207</v>
      </c>
      <c r="D198" s="768">
        <v>60</v>
      </c>
      <c r="E198" s="203">
        <v>1.1599999999999999</v>
      </c>
      <c r="F198" s="203">
        <v>1.0899999999999999</v>
      </c>
      <c r="G198" s="202">
        <v>118</v>
      </c>
      <c r="H198" s="204">
        <v>2.5</v>
      </c>
      <c r="I198" s="204">
        <v>3</v>
      </c>
    </row>
    <row r="199" spans="3:9" hidden="1" outlineLevel="1" x14ac:dyDescent="0.25">
      <c r="C199" s="768" t="s">
        <v>494</v>
      </c>
      <c r="D199" s="768">
        <v>59</v>
      </c>
      <c r="E199" s="203">
        <v>1.1599999999999999</v>
      </c>
      <c r="F199" s="203">
        <v>0.89</v>
      </c>
      <c r="G199" s="202">
        <v>104</v>
      </c>
      <c r="H199" s="204">
        <v>2.1</v>
      </c>
      <c r="I199" s="204">
        <v>2.1999999999999997</v>
      </c>
    </row>
    <row r="200" spans="3:9" hidden="1" outlineLevel="1" x14ac:dyDescent="0.25">
      <c r="C200" s="768" t="s">
        <v>206</v>
      </c>
      <c r="D200" s="768">
        <v>58</v>
      </c>
      <c r="E200" s="203">
        <v>1.1599999999999999</v>
      </c>
      <c r="F200" s="203">
        <v>0.76</v>
      </c>
      <c r="G200" s="202">
        <v>80</v>
      </c>
      <c r="H200" s="204">
        <v>1.7</v>
      </c>
      <c r="I200" s="204">
        <v>1.9</v>
      </c>
    </row>
    <row r="201" spans="3:9" hidden="1" outlineLevel="1" x14ac:dyDescent="0.25">
      <c r="C201" s="768" t="s">
        <v>177</v>
      </c>
      <c r="D201" s="768">
        <v>29</v>
      </c>
      <c r="E201" s="1055">
        <v>1.4102261599073973</v>
      </c>
      <c r="F201" s="1055">
        <v>1.4604995103592548</v>
      </c>
      <c r="G201" s="1056">
        <v>80.007538663579908</v>
      </c>
      <c r="H201" s="204">
        <v>1</v>
      </c>
      <c r="I201" s="204">
        <v>1.3</v>
      </c>
    </row>
    <row r="202" spans="3:9" hidden="1" outlineLevel="1" x14ac:dyDescent="0.25">
      <c r="C202" s="768" t="s">
        <v>178</v>
      </c>
      <c r="D202" s="768">
        <v>30</v>
      </c>
      <c r="E202" s="1055">
        <v>1.4102261599073973</v>
      </c>
      <c r="F202" s="1055">
        <v>1.180499510359255</v>
      </c>
      <c r="G202" s="1056">
        <v>58.007538663579915</v>
      </c>
      <c r="H202" s="204">
        <v>1</v>
      </c>
      <c r="I202" s="204">
        <v>1.3</v>
      </c>
    </row>
    <row r="203" spans="3:9" hidden="1" outlineLevel="1" x14ac:dyDescent="0.25">
      <c r="C203" s="768" t="s">
        <v>176</v>
      </c>
      <c r="D203" s="768">
        <v>28</v>
      </c>
      <c r="E203" s="1055">
        <v>1.4102261599073973</v>
      </c>
      <c r="F203" s="1055">
        <v>0.62049951035925488</v>
      </c>
      <c r="G203" s="1056">
        <v>47.007538663579915</v>
      </c>
      <c r="H203" s="204">
        <v>1</v>
      </c>
      <c r="I203" s="204">
        <v>1.3</v>
      </c>
    </row>
    <row r="204" spans="3:9" hidden="1" outlineLevel="1" x14ac:dyDescent="0.25">
      <c r="C204" s="768" t="s">
        <v>174</v>
      </c>
      <c r="D204" s="768">
        <v>26</v>
      </c>
      <c r="E204" s="1055">
        <v>1.5230442526999892</v>
      </c>
      <c r="F204" s="1055">
        <v>1.4604995103592548</v>
      </c>
      <c r="G204" s="1056">
        <v>80.007538663579908</v>
      </c>
      <c r="H204" s="204">
        <v>1</v>
      </c>
      <c r="I204" s="204">
        <v>1.3</v>
      </c>
    </row>
    <row r="205" spans="3:9" hidden="1" outlineLevel="1" x14ac:dyDescent="0.25">
      <c r="C205" s="768" t="s">
        <v>173</v>
      </c>
      <c r="D205" s="768">
        <v>27</v>
      </c>
      <c r="E205" s="1055">
        <v>1.5230442526999892</v>
      </c>
      <c r="F205" s="1055">
        <v>1.180499510359255</v>
      </c>
      <c r="G205" s="1056">
        <v>58.007538663579915</v>
      </c>
      <c r="H205" s="204">
        <v>1</v>
      </c>
      <c r="I205" s="204">
        <v>1.3</v>
      </c>
    </row>
    <row r="206" spans="3:9" hidden="1" outlineLevel="1" x14ac:dyDescent="0.25">
      <c r="C206" s="768" t="s">
        <v>175</v>
      </c>
      <c r="D206" s="768">
        <v>25</v>
      </c>
      <c r="E206" s="1055">
        <v>1.5230442526999892</v>
      </c>
      <c r="F206" s="1055">
        <v>0.62049951035925488</v>
      </c>
      <c r="G206" s="1056">
        <v>47.007538663579915</v>
      </c>
      <c r="H206" s="204">
        <v>1</v>
      </c>
      <c r="I206" s="204">
        <v>1.3</v>
      </c>
    </row>
    <row r="207" spans="3:9" hidden="1" outlineLevel="1" x14ac:dyDescent="0.25">
      <c r="C207" s="768" t="s">
        <v>171</v>
      </c>
      <c r="D207" s="768">
        <v>23</v>
      </c>
      <c r="E207" s="1055">
        <v>1.6734683764234448</v>
      </c>
      <c r="F207" s="1055">
        <v>1.4604995103592548</v>
      </c>
      <c r="G207" s="1056">
        <v>80.007538663579908</v>
      </c>
      <c r="H207" s="204">
        <v>1</v>
      </c>
      <c r="I207" s="204">
        <v>1.3</v>
      </c>
    </row>
    <row r="208" spans="3:9" hidden="1" outlineLevel="1" x14ac:dyDescent="0.25">
      <c r="C208" s="768" t="s">
        <v>172</v>
      </c>
      <c r="D208" s="768">
        <v>24</v>
      </c>
      <c r="E208" s="1055">
        <v>1.6734683764234448</v>
      </c>
      <c r="F208" s="1055">
        <v>1.180499510359255</v>
      </c>
      <c r="G208" s="1056">
        <v>58.007538663579915</v>
      </c>
      <c r="H208" s="204">
        <v>1</v>
      </c>
      <c r="I208" s="204">
        <v>1.3</v>
      </c>
    </row>
    <row r="209" spans="3:9" hidden="1" outlineLevel="1" x14ac:dyDescent="0.25">
      <c r="C209" s="768" t="s">
        <v>170</v>
      </c>
      <c r="D209" s="768">
        <v>22</v>
      </c>
      <c r="E209" s="1055">
        <v>1.6734683764234448</v>
      </c>
      <c r="F209" s="1055">
        <v>0.62049951035925488</v>
      </c>
      <c r="G209" s="1056">
        <v>47.007538663579915</v>
      </c>
      <c r="H209" s="204">
        <v>1</v>
      </c>
      <c r="I209" s="204">
        <v>1.3</v>
      </c>
    </row>
    <row r="210" spans="3:9" hidden="1" outlineLevel="1" x14ac:dyDescent="0.25">
      <c r="C210" s="366" t="s">
        <v>483</v>
      </c>
      <c r="D210" s="366">
        <v>104</v>
      </c>
      <c r="E210" s="512">
        <v>2.75</v>
      </c>
      <c r="F210" s="203">
        <v>2.11</v>
      </c>
      <c r="G210" s="205">
        <v>209</v>
      </c>
      <c r="H210" s="204">
        <v>5</v>
      </c>
      <c r="I210" s="204">
        <v>5.5</v>
      </c>
    </row>
    <row r="211" spans="3:9" hidden="1" outlineLevel="1" x14ac:dyDescent="0.25">
      <c r="C211" s="366" t="s">
        <v>484</v>
      </c>
      <c r="D211" s="366">
        <v>105</v>
      </c>
      <c r="E211" s="512">
        <v>2.25</v>
      </c>
      <c r="F211" s="203">
        <v>1.71</v>
      </c>
      <c r="G211" s="205">
        <v>164</v>
      </c>
      <c r="H211" s="204">
        <v>3.8</v>
      </c>
      <c r="I211" s="204">
        <v>4</v>
      </c>
    </row>
    <row r="212" spans="3:9" hidden="1" outlineLevel="1" x14ac:dyDescent="0.25">
      <c r="C212" s="366" t="s">
        <v>233</v>
      </c>
      <c r="D212" s="366">
        <v>103</v>
      </c>
      <c r="E212" s="512">
        <v>2.2000000000000002</v>
      </c>
      <c r="F212" s="203">
        <v>2.36</v>
      </c>
      <c r="G212" s="205">
        <v>234</v>
      </c>
      <c r="H212" s="204">
        <v>5.5</v>
      </c>
      <c r="I212" s="204">
        <v>6.1</v>
      </c>
    </row>
    <row r="213" spans="3:9" hidden="1" outlineLevel="1" x14ac:dyDescent="0.25">
      <c r="C213" s="366" t="s">
        <v>485</v>
      </c>
      <c r="D213" s="366">
        <v>101</v>
      </c>
      <c r="E213" s="512">
        <v>2.15</v>
      </c>
      <c r="F213" s="203">
        <v>1.41</v>
      </c>
      <c r="G213" s="205">
        <v>134</v>
      </c>
      <c r="H213" s="204">
        <v>3.3</v>
      </c>
      <c r="I213" s="204">
        <v>3.4</v>
      </c>
    </row>
    <row r="214" spans="3:9" hidden="1" outlineLevel="1" x14ac:dyDescent="0.25">
      <c r="C214" s="366" t="s">
        <v>486</v>
      </c>
      <c r="D214" s="366">
        <v>102</v>
      </c>
      <c r="E214" s="512">
        <v>1.9</v>
      </c>
      <c r="F214" s="203">
        <v>1.26</v>
      </c>
      <c r="G214" s="205">
        <v>114</v>
      </c>
      <c r="H214" s="204">
        <v>2.8</v>
      </c>
      <c r="I214" s="204">
        <v>2.7</v>
      </c>
    </row>
    <row r="215" spans="3:9" hidden="1" outlineLevel="1" x14ac:dyDescent="0.25">
      <c r="C215" s="366" t="s">
        <v>232</v>
      </c>
      <c r="D215" s="366">
        <v>100</v>
      </c>
      <c r="E215" s="512">
        <v>1.72</v>
      </c>
      <c r="F215" s="203">
        <v>1.61</v>
      </c>
      <c r="G215" s="205">
        <v>154</v>
      </c>
      <c r="H215" s="204">
        <v>3.7</v>
      </c>
      <c r="I215" s="204">
        <v>3.8</v>
      </c>
    </row>
    <row r="216" spans="3:9" s="645" customFormat="1" hidden="1" outlineLevel="1" x14ac:dyDescent="0.25">
      <c r="C216" s="366" t="s">
        <v>876</v>
      </c>
      <c r="D216" s="366"/>
      <c r="E216" s="772">
        <v>2.85</v>
      </c>
      <c r="F216" s="773">
        <v>2.31</v>
      </c>
      <c r="G216" s="774">
        <v>234</v>
      </c>
      <c r="H216" s="204">
        <v>5.5</v>
      </c>
      <c r="I216" s="204">
        <v>6.1</v>
      </c>
    </row>
    <row r="217" spans="3:9" s="645" customFormat="1" hidden="1" outlineLevel="1" x14ac:dyDescent="0.25">
      <c r="C217" s="366" t="s">
        <v>877</v>
      </c>
      <c r="D217" s="366"/>
      <c r="E217" s="772">
        <v>2.35</v>
      </c>
      <c r="F217" s="773">
        <v>1.86</v>
      </c>
      <c r="G217" s="774">
        <v>184</v>
      </c>
      <c r="H217" s="204">
        <v>4.0999999999999996</v>
      </c>
      <c r="I217" s="204">
        <v>4.3</v>
      </c>
    </row>
    <row r="218" spans="3:9" s="645" customFormat="1" hidden="1" outlineLevel="1" x14ac:dyDescent="0.25">
      <c r="C218" s="366" t="s">
        <v>878</v>
      </c>
      <c r="D218" s="366"/>
      <c r="E218" s="772">
        <v>2.2999999999999998</v>
      </c>
      <c r="F218" s="773">
        <v>2.65</v>
      </c>
      <c r="G218" s="774">
        <v>364</v>
      </c>
      <c r="H218" s="204">
        <v>6.1</v>
      </c>
      <c r="I218" s="204">
        <v>6.9</v>
      </c>
    </row>
    <row r="219" spans="3:9" hidden="1" outlineLevel="1" x14ac:dyDescent="0.25">
      <c r="C219" s="769" t="s">
        <v>1125</v>
      </c>
      <c r="D219" s="768"/>
      <c r="E219" s="770">
        <v>1.74621798414059</v>
      </c>
      <c r="F219" s="770">
        <f t="shared" ref="F219:F227" si="5">F255-0.08</f>
        <v>0.96000000000000008</v>
      </c>
      <c r="G219" s="771">
        <f t="shared" ref="G219:G227" si="6">G255-7</f>
        <v>62</v>
      </c>
      <c r="H219" s="770">
        <v>1.6</v>
      </c>
      <c r="I219" s="770">
        <v>1.2</v>
      </c>
    </row>
    <row r="220" spans="3:9" hidden="1" outlineLevel="1" x14ac:dyDescent="0.25">
      <c r="C220" s="769" t="s">
        <v>1126</v>
      </c>
      <c r="D220" s="768"/>
      <c r="E220" s="770">
        <v>1.9186839578828701</v>
      </c>
      <c r="F220" s="770">
        <f t="shared" si="5"/>
        <v>0.91</v>
      </c>
      <c r="G220" s="771">
        <f t="shared" si="6"/>
        <v>58</v>
      </c>
      <c r="H220" s="770">
        <v>1.6</v>
      </c>
      <c r="I220" s="770">
        <v>1.2</v>
      </c>
    </row>
    <row r="221" spans="3:9" hidden="1" outlineLevel="1" x14ac:dyDescent="0.25">
      <c r="C221" s="769" t="s">
        <v>1127</v>
      </c>
      <c r="D221" s="768"/>
      <c r="E221" s="770">
        <v>2.0911499316251501</v>
      </c>
      <c r="F221" s="770">
        <f t="shared" si="5"/>
        <v>0.87</v>
      </c>
      <c r="G221" s="771">
        <f t="shared" si="6"/>
        <v>55</v>
      </c>
      <c r="H221" s="770">
        <v>1.6</v>
      </c>
      <c r="I221" s="770">
        <v>1.2</v>
      </c>
    </row>
    <row r="222" spans="3:9" hidden="1" outlineLevel="1" x14ac:dyDescent="0.25">
      <c r="C222" s="769" t="s">
        <v>1137</v>
      </c>
      <c r="D222" s="768"/>
      <c r="E222" s="770">
        <v>1.74621798414059</v>
      </c>
      <c r="F222" s="770">
        <f t="shared" si="5"/>
        <v>1.24</v>
      </c>
      <c r="G222" s="771">
        <f t="shared" si="6"/>
        <v>73</v>
      </c>
      <c r="H222" s="770">
        <v>1.6</v>
      </c>
      <c r="I222" s="770">
        <v>1.2</v>
      </c>
    </row>
    <row r="223" spans="3:9" hidden="1" outlineLevel="1" x14ac:dyDescent="0.25">
      <c r="C223" s="769" t="s">
        <v>1138</v>
      </c>
      <c r="D223" s="768"/>
      <c r="E223" s="770">
        <v>1.9186839578828701</v>
      </c>
      <c r="F223" s="770">
        <f t="shared" si="5"/>
        <v>1.19</v>
      </c>
      <c r="G223" s="771">
        <f t="shared" si="6"/>
        <v>69</v>
      </c>
      <c r="H223" s="770">
        <v>1.6</v>
      </c>
      <c r="I223" s="770">
        <v>1.2</v>
      </c>
    </row>
    <row r="224" spans="3:9" hidden="1" outlineLevel="1" x14ac:dyDescent="0.25">
      <c r="C224" s="769" t="s">
        <v>1139</v>
      </c>
      <c r="D224" s="768"/>
      <c r="E224" s="770">
        <v>2.0911499316251501</v>
      </c>
      <c r="F224" s="770">
        <f t="shared" si="5"/>
        <v>1.1499999999999999</v>
      </c>
      <c r="G224" s="771">
        <f t="shared" si="6"/>
        <v>66</v>
      </c>
      <c r="H224" s="770">
        <v>1.6</v>
      </c>
      <c r="I224" s="770">
        <v>1.2</v>
      </c>
    </row>
    <row r="225" spans="3:9" hidden="1" outlineLevel="1" x14ac:dyDescent="0.25">
      <c r="C225" s="769" t="s">
        <v>1105</v>
      </c>
      <c r="D225" s="768"/>
      <c r="E225" s="770">
        <v>1.74621798414059</v>
      </c>
      <c r="F225" s="770">
        <f t="shared" si="5"/>
        <v>1.52</v>
      </c>
      <c r="G225" s="771">
        <f t="shared" si="6"/>
        <v>84</v>
      </c>
      <c r="H225" s="770">
        <v>1.6</v>
      </c>
      <c r="I225" s="770">
        <v>1.2</v>
      </c>
    </row>
    <row r="226" spans="3:9" hidden="1" outlineLevel="1" x14ac:dyDescent="0.25">
      <c r="C226" s="769" t="s">
        <v>1106</v>
      </c>
      <c r="D226" s="768"/>
      <c r="E226" s="770">
        <v>1.9186839578828701</v>
      </c>
      <c r="F226" s="770">
        <f t="shared" si="5"/>
        <v>1.47</v>
      </c>
      <c r="G226" s="771">
        <f t="shared" si="6"/>
        <v>80</v>
      </c>
      <c r="H226" s="770">
        <v>1.6</v>
      </c>
      <c r="I226" s="770">
        <v>1.2</v>
      </c>
    </row>
    <row r="227" spans="3:9" hidden="1" outlineLevel="1" x14ac:dyDescent="0.25">
      <c r="C227" s="769" t="s">
        <v>1107</v>
      </c>
      <c r="D227" s="768"/>
      <c r="E227" s="770">
        <v>2.0911499316251501</v>
      </c>
      <c r="F227" s="770">
        <f t="shared" si="5"/>
        <v>1.43</v>
      </c>
      <c r="G227" s="771">
        <f t="shared" si="6"/>
        <v>77</v>
      </c>
      <c r="H227" s="770">
        <v>1.6</v>
      </c>
      <c r="I227" s="770">
        <v>1.2</v>
      </c>
    </row>
    <row r="228" spans="3:9" hidden="1" outlineLevel="1" x14ac:dyDescent="0.25">
      <c r="C228" s="768" t="s">
        <v>215</v>
      </c>
      <c r="D228" s="768">
        <v>72</v>
      </c>
      <c r="E228" s="203">
        <v>1.4</v>
      </c>
      <c r="F228" s="203">
        <v>1.3</v>
      </c>
      <c r="G228" s="202">
        <v>143</v>
      </c>
      <c r="H228" s="204">
        <v>3.2</v>
      </c>
      <c r="I228" s="204">
        <v>4</v>
      </c>
    </row>
    <row r="229" spans="3:9" hidden="1" outlineLevel="1" x14ac:dyDescent="0.25">
      <c r="C229" s="768" t="s">
        <v>495</v>
      </c>
      <c r="D229" s="768">
        <v>71</v>
      </c>
      <c r="E229" s="203">
        <v>1.4</v>
      </c>
      <c r="F229" s="203">
        <v>1.02</v>
      </c>
      <c r="G229" s="202">
        <v>117</v>
      </c>
      <c r="H229" s="204">
        <v>2.6</v>
      </c>
      <c r="I229" s="204">
        <v>2.8</v>
      </c>
    </row>
    <row r="230" spans="3:9" hidden="1" outlineLevel="1" x14ac:dyDescent="0.25">
      <c r="C230" s="768" t="s">
        <v>214</v>
      </c>
      <c r="D230" s="768">
        <v>70</v>
      </c>
      <c r="E230" s="203">
        <v>1.4</v>
      </c>
      <c r="F230" s="203">
        <v>0.82</v>
      </c>
      <c r="G230" s="202">
        <v>93</v>
      </c>
      <c r="H230" s="204">
        <v>2.2999999999999998</v>
      </c>
      <c r="I230" s="204">
        <v>2.2000000000000002</v>
      </c>
    </row>
    <row r="231" spans="3:9" hidden="1" outlineLevel="1" x14ac:dyDescent="0.25">
      <c r="C231" s="768" t="s">
        <v>217</v>
      </c>
      <c r="D231" s="768">
        <v>75</v>
      </c>
      <c r="E231" s="203">
        <v>1.33</v>
      </c>
      <c r="F231" s="203">
        <v>1.2149999999999999</v>
      </c>
      <c r="G231" s="202">
        <v>132</v>
      </c>
      <c r="H231" s="204">
        <v>3</v>
      </c>
      <c r="I231" s="204">
        <v>3.6</v>
      </c>
    </row>
    <row r="232" spans="3:9" hidden="1" outlineLevel="1" x14ac:dyDescent="0.25">
      <c r="C232" s="768" t="s">
        <v>496</v>
      </c>
      <c r="D232" s="768">
        <v>74</v>
      </c>
      <c r="E232" s="203">
        <v>1.33</v>
      </c>
      <c r="F232" s="203">
        <v>0.97500000000000009</v>
      </c>
      <c r="G232" s="202">
        <v>112</v>
      </c>
      <c r="H232" s="204">
        <v>2.5</v>
      </c>
      <c r="I232" s="204">
        <v>2.5999999999999996</v>
      </c>
    </row>
    <row r="233" spans="3:9" hidden="1" outlineLevel="1" x14ac:dyDescent="0.25">
      <c r="C233" s="768" t="s">
        <v>216</v>
      </c>
      <c r="D233" s="768">
        <v>73</v>
      </c>
      <c r="E233" s="203">
        <v>1.33</v>
      </c>
      <c r="F233" s="203">
        <v>0.81</v>
      </c>
      <c r="G233" s="202">
        <v>88</v>
      </c>
      <c r="H233" s="204">
        <v>2.25</v>
      </c>
      <c r="I233" s="204">
        <v>2.0499999999999998</v>
      </c>
    </row>
    <row r="234" spans="3:9" hidden="1" outlineLevel="1" x14ac:dyDescent="0.25">
      <c r="C234" s="768" t="s">
        <v>213</v>
      </c>
      <c r="D234" s="768">
        <v>69</v>
      </c>
      <c r="E234" s="203">
        <v>1.26</v>
      </c>
      <c r="F234" s="203">
        <v>1.1299999999999999</v>
      </c>
      <c r="G234" s="202">
        <v>121</v>
      </c>
      <c r="H234" s="204">
        <v>2.8</v>
      </c>
      <c r="I234" s="204">
        <v>3.2</v>
      </c>
    </row>
    <row r="235" spans="3:9" hidden="1" outlineLevel="1" x14ac:dyDescent="0.25">
      <c r="C235" s="768" t="s">
        <v>497</v>
      </c>
      <c r="D235" s="768">
        <v>68</v>
      </c>
      <c r="E235" s="203">
        <v>1.26</v>
      </c>
      <c r="F235" s="203">
        <v>0.93</v>
      </c>
      <c r="G235" s="202">
        <v>107</v>
      </c>
      <c r="H235" s="204">
        <v>2.4</v>
      </c>
      <c r="I235" s="204">
        <v>2.4</v>
      </c>
    </row>
    <row r="236" spans="3:9" hidden="1" outlineLevel="1" x14ac:dyDescent="0.25">
      <c r="C236" s="768" t="s">
        <v>212</v>
      </c>
      <c r="D236" s="768">
        <v>67</v>
      </c>
      <c r="E236" s="203">
        <v>1.26</v>
      </c>
      <c r="F236" s="203">
        <v>0.8</v>
      </c>
      <c r="G236" s="202">
        <v>83</v>
      </c>
      <c r="H236" s="204">
        <v>1.9</v>
      </c>
      <c r="I236" s="204">
        <v>2.2000000000000002</v>
      </c>
    </row>
    <row r="237" spans="3:9" hidden="1" outlineLevel="1" x14ac:dyDescent="0.25">
      <c r="C237" s="768" t="s">
        <v>186</v>
      </c>
      <c r="D237" s="768">
        <v>38</v>
      </c>
      <c r="E237" s="508">
        <v>1.6168685038338781</v>
      </c>
      <c r="F237" s="508">
        <v>1.5514221416869063</v>
      </c>
      <c r="G237" s="1057">
        <v>86.895616794462597</v>
      </c>
      <c r="H237" s="204">
        <v>1.2</v>
      </c>
      <c r="I237" s="204">
        <v>1.5599999999999998</v>
      </c>
    </row>
    <row r="238" spans="3:9" hidden="1" outlineLevel="1" x14ac:dyDescent="0.25">
      <c r="C238" s="768" t="s">
        <v>187</v>
      </c>
      <c r="D238" s="768">
        <v>39</v>
      </c>
      <c r="E238" s="508">
        <v>1.6168685038338781</v>
      </c>
      <c r="F238" s="508">
        <v>1.2714221416869065</v>
      </c>
      <c r="G238" s="1057">
        <v>64.895616794462597</v>
      </c>
      <c r="H238" s="204">
        <v>1.2</v>
      </c>
      <c r="I238" s="204">
        <v>1.5599999999999998</v>
      </c>
    </row>
    <row r="239" spans="3:9" hidden="1" outlineLevel="1" x14ac:dyDescent="0.25">
      <c r="C239" s="768" t="s">
        <v>185</v>
      </c>
      <c r="D239" s="768">
        <v>37</v>
      </c>
      <c r="E239" s="508">
        <v>1.6168685038338781</v>
      </c>
      <c r="F239" s="508">
        <v>0.71142214168690643</v>
      </c>
      <c r="G239" s="1057">
        <v>53.895616794462605</v>
      </c>
      <c r="H239" s="204">
        <v>1.2</v>
      </c>
      <c r="I239" s="204">
        <v>1.5599999999999998</v>
      </c>
    </row>
    <row r="240" spans="3:9" ht="14.45" hidden="1" customHeight="1" outlineLevel="1" x14ac:dyDescent="0.25">
      <c r="C240" s="768" t="s">
        <v>183</v>
      </c>
      <c r="D240" s="768">
        <v>35</v>
      </c>
      <c r="E240" s="508">
        <v>1.7462179841405885</v>
      </c>
      <c r="F240" s="508">
        <v>1.5514221416869063</v>
      </c>
      <c r="G240" s="1057">
        <v>86.895616794462597</v>
      </c>
      <c r="H240" s="204">
        <v>1.2</v>
      </c>
      <c r="I240" s="204">
        <v>1.5599999999999998</v>
      </c>
    </row>
    <row r="241" spans="3:9" hidden="1" outlineLevel="1" x14ac:dyDescent="0.25">
      <c r="C241" s="768" t="s">
        <v>184</v>
      </c>
      <c r="D241" s="768">
        <v>36</v>
      </c>
      <c r="E241" s="508">
        <v>1.7462179841405885</v>
      </c>
      <c r="F241" s="508">
        <v>1.2714221416869065</v>
      </c>
      <c r="G241" s="1057">
        <v>64.895616794462597</v>
      </c>
      <c r="H241" s="204">
        <v>1.2</v>
      </c>
      <c r="I241" s="204">
        <v>1.5599999999999998</v>
      </c>
    </row>
    <row r="242" spans="3:9" hidden="1" outlineLevel="1" x14ac:dyDescent="0.25">
      <c r="C242" s="768" t="s">
        <v>182</v>
      </c>
      <c r="D242" s="768">
        <v>34</v>
      </c>
      <c r="E242" s="508">
        <v>1.7462179841405885</v>
      </c>
      <c r="F242" s="508">
        <v>0.71142214168690643</v>
      </c>
      <c r="G242" s="1057">
        <v>53.895616794462605</v>
      </c>
      <c r="H242" s="204">
        <v>1.2</v>
      </c>
      <c r="I242" s="204">
        <v>1.5599999999999998</v>
      </c>
    </row>
    <row r="243" spans="3:9" hidden="1" outlineLevel="1" x14ac:dyDescent="0.25">
      <c r="C243" s="768" t="s">
        <v>180</v>
      </c>
      <c r="D243" s="768">
        <v>32</v>
      </c>
      <c r="E243" s="508">
        <v>1.9186839578828687</v>
      </c>
      <c r="F243" s="508">
        <v>1.5514221416869063</v>
      </c>
      <c r="G243" s="1057">
        <v>86.895616794462597</v>
      </c>
      <c r="H243" s="204">
        <v>1.2</v>
      </c>
      <c r="I243" s="204">
        <v>1.5599999999999998</v>
      </c>
    </row>
    <row r="244" spans="3:9" hidden="1" outlineLevel="1" x14ac:dyDescent="0.25">
      <c r="C244" s="768" t="s">
        <v>181</v>
      </c>
      <c r="D244" s="768">
        <v>33</v>
      </c>
      <c r="E244" s="508">
        <v>1.9186839578828687</v>
      </c>
      <c r="F244" s="508">
        <v>1.2714221416869065</v>
      </c>
      <c r="G244" s="1057">
        <v>64.895616794462597</v>
      </c>
      <c r="H244" s="204">
        <v>1.2</v>
      </c>
      <c r="I244" s="204">
        <v>1.5599999999999998</v>
      </c>
    </row>
    <row r="245" spans="3:9" hidden="1" outlineLevel="1" x14ac:dyDescent="0.25">
      <c r="C245" s="768" t="s">
        <v>179</v>
      </c>
      <c r="D245" s="768">
        <v>31</v>
      </c>
      <c r="E245" s="508">
        <v>1.9186839578828687</v>
      </c>
      <c r="F245" s="508">
        <v>0.71142214168690643</v>
      </c>
      <c r="G245" s="1057">
        <v>53.895616794462605</v>
      </c>
      <c r="H245" s="204">
        <v>1.2</v>
      </c>
      <c r="I245" s="204">
        <v>1.5599999999999998</v>
      </c>
    </row>
    <row r="246" spans="3:9" hidden="1" outlineLevel="1" x14ac:dyDescent="0.25">
      <c r="C246" s="366" t="s">
        <v>475</v>
      </c>
      <c r="D246" s="366">
        <v>110</v>
      </c>
      <c r="E246" s="203">
        <v>2.95</v>
      </c>
      <c r="F246" s="203">
        <v>2.19</v>
      </c>
      <c r="G246" s="205">
        <v>216</v>
      </c>
      <c r="H246" s="204">
        <v>5.2</v>
      </c>
      <c r="I246" s="204">
        <v>6.1</v>
      </c>
    </row>
    <row r="247" spans="3:9" hidden="1" outlineLevel="1" x14ac:dyDescent="0.25">
      <c r="C247" s="366" t="s">
        <v>476</v>
      </c>
      <c r="D247" s="366">
        <v>111</v>
      </c>
      <c r="E247" s="203">
        <v>2.4500000000000002</v>
      </c>
      <c r="F247" s="203">
        <v>1.79</v>
      </c>
      <c r="G247" s="205">
        <v>171</v>
      </c>
      <c r="H247" s="204">
        <v>4</v>
      </c>
      <c r="I247" s="204">
        <v>4.5999999999999996</v>
      </c>
    </row>
    <row r="248" spans="3:9" hidden="1" outlineLevel="1" x14ac:dyDescent="0.25">
      <c r="C248" s="366" t="s">
        <v>235</v>
      </c>
      <c r="D248" s="366">
        <v>109</v>
      </c>
      <c r="E248" s="203">
        <v>2.4000000000000004</v>
      </c>
      <c r="F248" s="203">
        <v>2.44</v>
      </c>
      <c r="G248" s="205">
        <v>241</v>
      </c>
      <c r="H248" s="204">
        <v>5.7</v>
      </c>
      <c r="I248" s="204">
        <v>6.3</v>
      </c>
    </row>
    <row r="249" spans="3:9" hidden="1" outlineLevel="1" x14ac:dyDescent="0.25">
      <c r="C249" s="366" t="s">
        <v>478</v>
      </c>
      <c r="D249" s="366">
        <v>107</v>
      </c>
      <c r="E249" s="203">
        <v>2.35</v>
      </c>
      <c r="F249" s="203">
        <v>1.49</v>
      </c>
      <c r="G249" s="205">
        <v>141</v>
      </c>
      <c r="H249" s="204">
        <v>3.5</v>
      </c>
      <c r="I249" s="204">
        <v>3.6</v>
      </c>
    </row>
    <row r="250" spans="3:9" hidden="1" outlineLevel="1" x14ac:dyDescent="0.25">
      <c r="C250" s="366" t="s">
        <v>477</v>
      </c>
      <c r="D250" s="366">
        <v>108</v>
      </c>
      <c r="E250" s="203">
        <v>2.1</v>
      </c>
      <c r="F250" s="203">
        <v>1.35</v>
      </c>
      <c r="G250" s="205">
        <v>121</v>
      </c>
      <c r="H250" s="204">
        <v>3</v>
      </c>
      <c r="I250" s="204">
        <v>2.9</v>
      </c>
    </row>
    <row r="251" spans="3:9" hidden="1" outlineLevel="1" x14ac:dyDescent="0.25">
      <c r="C251" s="366" t="s">
        <v>234</v>
      </c>
      <c r="D251" s="366">
        <v>106</v>
      </c>
      <c r="E251" s="203">
        <v>1.92</v>
      </c>
      <c r="F251" s="203">
        <v>1.67</v>
      </c>
      <c r="G251" s="205">
        <v>161</v>
      </c>
      <c r="H251" s="204">
        <v>3.9</v>
      </c>
      <c r="I251" s="204">
        <v>4.4000000000000004</v>
      </c>
    </row>
    <row r="252" spans="3:9" hidden="1" outlineLevel="1" x14ac:dyDescent="0.25">
      <c r="C252" s="366" t="s">
        <v>879</v>
      </c>
      <c r="D252" s="366"/>
      <c r="E252" s="773">
        <v>3.05</v>
      </c>
      <c r="F252" s="773">
        <v>2.39</v>
      </c>
      <c r="G252" s="774">
        <v>241</v>
      </c>
      <c r="H252" s="204">
        <v>5.7</v>
      </c>
      <c r="I252" s="204">
        <v>6.3</v>
      </c>
    </row>
    <row r="253" spans="3:9" hidden="1" outlineLevel="1" x14ac:dyDescent="0.25">
      <c r="C253" s="366" t="s">
        <v>880</v>
      </c>
      <c r="D253" s="366"/>
      <c r="E253" s="773">
        <v>1.95</v>
      </c>
      <c r="F253" s="773">
        <v>1.89</v>
      </c>
      <c r="G253" s="774">
        <v>181</v>
      </c>
      <c r="H253" s="204">
        <v>4.3</v>
      </c>
      <c r="I253" s="204">
        <v>4.5</v>
      </c>
    </row>
    <row r="254" spans="3:9" hidden="1" outlineLevel="1" x14ac:dyDescent="0.25">
      <c r="C254" s="366" t="s">
        <v>881</v>
      </c>
      <c r="D254" s="366"/>
      <c r="E254" s="773">
        <v>2.44</v>
      </c>
      <c r="F254" s="773">
        <v>2.74</v>
      </c>
      <c r="G254" s="774">
        <v>271</v>
      </c>
      <c r="H254" s="204">
        <v>6.3</v>
      </c>
      <c r="I254" s="204">
        <v>7.5</v>
      </c>
    </row>
    <row r="255" spans="3:9" hidden="1" outlineLevel="1" x14ac:dyDescent="0.25">
      <c r="C255" s="769" t="s">
        <v>1128</v>
      </c>
      <c r="D255" s="768"/>
      <c r="E255" s="770">
        <v>1.9602368489198101</v>
      </c>
      <c r="F255" s="770">
        <f>F258-0.28</f>
        <v>1.04</v>
      </c>
      <c r="G255" s="771">
        <f>G258-11</f>
        <v>69</v>
      </c>
      <c r="H255" s="770">
        <v>1.8</v>
      </c>
      <c r="I255" s="770">
        <v>1.4</v>
      </c>
    </row>
    <row r="256" spans="3:9" hidden="1" outlineLevel="1" x14ac:dyDescent="0.25">
      <c r="C256" s="769" t="s">
        <v>1129</v>
      </c>
      <c r="D256" s="768"/>
      <c r="E256" s="770">
        <v>2.1538404883192901</v>
      </c>
      <c r="F256" s="770">
        <f>F259-0.28</f>
        <v>0.99</v>
      </c>
      <c r="G256" s="771">
        <f>G259-11</f>
        <v>65</v>
      </c>
      <c r="H256" s="770">
        <v>1.8</v>
      </c>
      <c r="I256" s="770">
        <v>1.4</v>
      </c>
    </row>
    <row r="257" spans="3:9" hidden="1" outlineLevel="1" x14ac:dyDescent="0.25">
      <c r="C257" s="769" t="s">
        <v>1130</v>
      </c>
      <c r="D257" s="768"/>
      <c r="E257" s="770">
        <v>2.3474441277187799</v>
      </c>
      <c r="F257" s="770">
        <f>F260-0.28</f>
        <v>0.95</v>
      </c>
      <c r="G257" s="771">
        <f>G260-11</f>
        <v>62</v>
      </c>
      <c r="H257" s="770">
        <v>1.8</v>
      </c>
      <c r="I257" s="770">
        <v>1.4</v>
      </c>
    </row>
    <row r="258" spans="3:9" hidden="1" outlineLevel="1" x14ac:dyDescent="0.25">
      <c r="C258" s="769" t="s">
        <v>1140</v>
      </c>
      <c r="D258" s="768"/>
      <c r="E258" s="770">
        <v>1.9602368489198101</v>
      </c>
      <c r="F258" s="770">
        <v>1.32</v>
      </c>
      <c r="G258" s="771">
        <v>80</v>
      </c>
      <c r="H258" s="770">
        <v>1.8</v>
      </c>
      <c r="I258" s="770">
        <v>1.4</v>
      </c>
    </row>
    <row r="259" spans="3:9" hidden="1" outlineLevel="1" x14ac:dyDescent="0.25">
      <c r="C259" s="769" t="s">
        <v>1141</v>
      </c>
      <c r="D259" s="768"/>
      <c r="E259" s="770">
        <v>2.1538404883192901</v>
      </c>
      <c r="F259" s="770">
        <v>1.27</v>
      </c>
      <c r="G259" s="771">
        <v>76</v>
      </c>
      <c r="H259" s="770">
        <v>1.8</v>
      </c>
      <c r="I259" s="770">
        <v>1.4</v>
      </c>
    </row>
    <row r="260" spans="3:9" hidden="1" outlineLevel="1" x14ac:dyDescent="0.25">
      <c r="C260" s="769" t="s">
        <v>1142</v>
      </c>
      <c r="D260" s="768"/>
      <c r="E260" s="770">
        <v>2.3474441277187799</v>
      </c>
      <c r="F260" s="770">
        <v>1.23</v>
      </c>
      <c r="G260" s="771">
        <v>73</v>
      </c>
      <c r="H260" s="770">
        <v>1.8</v>
      </c>
      <c r="I260" s="770">
        <v>1.4</v>
      </c>
    </row>
    <row r="261" spans="3:9" hidden="1" outlineLevel="1" x14ac:dyDescent="0.25">
      <c r="C261" s="769" t="s">
        <v>1108</v>
      </c>
      <c r="D261" s="768"/>
      <c r="E261" s="770">
        <v>1.9602368489198101</v>
      </c>
      <c r="F261" s="770">
        <f>F258+0.28</f>
        <v>1.6</v>
      </c>
      <c r="G261" s="771">
        <f>G258+11</f>
        <v>91</v>
      </c>
      <c r="H261" s="770">
        <v>1.8</v>
      </c>
      <c r="I261" s="770">
        <v>1.4</v>
      </c>
    </row>
    <row r="262" spans="3:9" hidden="1" outlineLevel="1" x14ac:dyDescent="0.25">
      <c r="C262" s="769" t="s">
        <v>1109</v>
      </c>
      <c r="D262" s="768"/>
      <c r="E262" s="770">
        <v>2.1538404883192901</v>
      </c>
      <c r="F262" s="770">
        <f>F259+0.28</f>
        <v>1.55</v>
      </c>
      <c r="G262" s="771">
        <f>G259+11</f>
        <v>87</v>
      </c>
      <c r="H262" s="770">
        <v>1.8</v>
      </c>
      <c r="I262" s="770">
        <v>1.4</v>
      </c>
    </row>
    <row r="263" spans="3:9" hidden="1" outlineLevel="1" x14ac:dyDescent="0.25">
      <c r="C263" s="769" t="s">
        <v>1110</v>
      </c>
      <c r="D263" s="768"/>
      <c r="E263" s="770">
        <v>2.3474441277187799</v>
      </c>
      <c r="F263" s="770">
        <f>F260+0.28</f>
        <v>1.51</v>
      </c>
      <c r="G263" s="771">
        <f>G260+11</f>
        <v>84</v>
      </c>
      <c r="H263" s="770">
        <v>1.8</v>
      </c>
      <c r="I263" s="770">
        <v>1.4</v>
      </c>
    </row>
    <row r="264" spans="3:9" hidden="1" outlineLevel="1" x14ac:dyDescent="0.25">
      <c r="C264" s="768" t="s">
        <v>221</v>
      </c>
      <c r="D264" s="768">
        <v>81</v>
      </c>
      <c r="E264" s="203">
        <v>1.71</v>
      </c>
      <c r="F264" s="203">
        <v>1.5</v>
      </c>
      <c r="G264" s="202">
        <v>172</v>
      </c>
      <c r="H264" s="204">
        <v>3.9</v>
      </c>
      <c r="I264" s="204">
        <v>5</v>
      </c>
    </row>
    <row r="265" spans="3:9" hidden="1" outlineLevel="1" x14ac:dyDescent="0.25">
      <c r="C265" s="768" t="s">
        <v>498</v>
      </c>
      <c r="D265" s="768">
        <v>80</v>
      </c>
      <c r="E265" s="203">
        <v>1.71</v>
      </c>
      <c r="F265" s="203">
        <v>1.1399999999999999</v>
      </c>
      <c r="G265" s="202">
        <v>146</v>
      </c>
      <c r="H265" s="204">
        <v>3.2</v>
      </c>
      <c r="I265" s="204">
        <v>3.5</v>
      </c>
    </row>
    <row r="266" spans="3:9" hidden="1" outlineLevel="1" x14ac:dyDescent="0.25">
      <c r="C266" s="768" t="s">
        <v>220</v>
      </c>
      <c r="D266" s="768">
        <v>79</v>
      </c>
      <c r="E266" s="203">
        <v>1.71</v>
      </c>
      <c r="F266" s="203">
        <v>0.93</v>
      </c>
      <c r="G266" s="202">
        <v>111</v>
      </c>
      <c r="H266" s="204">
        <v>2.8</v>
      </c>
      <c r="I266" s="204">
        <v>2.7</v>
      </c>
    </row>
    <row r="267" spans="3:9" hidden="1" outlineLevel="1" x14ac:dyDescent="0.25">
      <c r="C267" s="768" t="s">
        <v>223</v>
      </c>
      <c r="D267" s="768">
        <v>84</v>
      </c>
      <c r="E267" s="203">
        <v>1.6749999999999998</v>
      </c>
      <c r="F267" s="203">
        <v>1.36</v>
      </c>
      <c r="G267" s="205">
        <v>150.5</v>
      </c>
      <c r="H267" s="204">
        <v>3.5</v>
      </c>
      <c r="I267" s="204">
        <v>4.1500000000000004</v>
      </c>
    </row>
    <row r="268" spans="3:9" hidden="1" outlineLevel="1" x14ac:dyDescent="0.25">
      <c r="C268" s="768" t="s">
        <v>499</v>
      </c>
      <c r="D268" s="768">
        <v>83</v>
      </c>
      <c r="E268" s="203">
        <v>1.6749999999999998</v>
      </c>
      <c r="F268" s="203">
        <v>1.08</v>
      </c>
      <c r="G268" s="205">
        <v>130</v>
      </c>
      <c r="H268" s="204">
        <v>2.95</v>
      </c>
      <c r="I268" s="204">
        <v>3.05</v>
      </c>
    </row>
    <row r="269" spans="3:9" hidden="1" outlineLevel="1" x14ac:dyDescent="0.25">
      <c r="C269" s="768" t="s">
        <v>222</v>
      </c>
      <c r="D269" s="768">
        <v>82</v>
      </c>
      <c r="E269" s="203">
        <v>1.6749999999999998</v>
      </c>
      <c r="F269" s="203">
        <v>0.90500000000000003</v>
      </c>
      <c r="G269" s="205">
        <v>100.5</v>
      </c>
      <c r="H269" s="204">
        <v>2.65</v>
      </c>
      <c r="I269" s="204">
        <v>2.4000000000000004</v>
      </c>
    </row>
    <row r="270" spans="3:9" hidden="1" outlineLevel="1" x14ac:dyDescent="0.25">
      <c r="C270" s="768" t="s">
        <v>219</v>
      </c>
      <c r="D270" s="768">
        <v>78</v>
      </c>
      <c r="E270" s="203">
        <v>1.64</v>
      </c>
      <c r="F270" s="203">
        <v>1.22</v>
      </c>
      <c r="G270" s="202">
        <v>129</v>
      </c>
      <c r="H270" s="204">
        <v>3.1</v>
      </c>
      <c r="I270" s="204">
        <v>3.3</v>
      </c>
    </row>
    <row r="271" spans="3:9" hidden="1" outlineLevel="1" x14ac:dyDescent="0.25">
      <c r="C271" s="768" t="s">
        <v>500</v>
      </c>
      <c r="D271" s="768">
        <v>77</v>
      </c>
      <c r="E271" s="203">
        <v>1.64</v>
      </c>
      <c r="F271" s="203">
        <v>1.02</v>
      </c>
      <c r="G271" s="202">
        <v>114</v>
      </c>
      <c r="H271" s="204">
        <v>2.7</v>
      </c>
      <c r="I271" s="204">
        <v>2.6</v>
      </c>
    </row>
    <row r="272" spans="3:9" hidden="1" outlineLevel="1" x14ac:dyDescent="0.25">
      <c r="C272" s="768" t="s">
        <v>218</v>
      </c>
      <c r="D272" s="768">
        <v>76</v>
      </c>
      <c r="E272" s="203">
        <v>1.64</v>
      </c>
      <c r="F272" s="203">
        <v>0.88</v>
      </c>
      <c r="G272" s="202">
        <v>90</v>
      </c>
      <c r="H272" s="204">
        <v>2.5</v>
      </c>
      <c r="I272" s="204">
        <v>2.1</v>
      </c>
    </row>
    <row r="273" spans="3:9" hidden="1" outlineLevel="1" x14ac:dyDescent="0.25">
      <c r="C273" s="768" t="s">
        <v>195</v>
      </c>
      <c r="D273" s="768">
        <v>47</v>
      </c>
      <c r="E273" s="508">
        <v>1.8150341193701911</v>
      </c>
      <c r="F273" s="508">
        <v>1.6386150125228842</v>
      </c>
      <c r="G273" s="1057">
        <v>93.501137312339708</v>
      </c>
      <c r="H273" s="204">
        <v>1.4000000000000001</v>
      </c>
      <c r="I273" s="204">
        <v>1.8199999999999998</v>
      </c>
    </row>
    <row r="274" spans="3:9" hidden="1" outlineLevel="1" x14ac:dyDescent="0.25">
      <c r="C274" s="768" t="s">
        <v>196</v>
      </c>
      <c r="D274" s="768">
        <v>48</v>
      </c>
      <c r="E274" s="508">
        <v>1.8150341193701911</v>
      </c>
      <c r="F274" s="508">
        <v>1.3586150125228842</v>
      </c>
      <c r="G274" s="1057">
        <v>71.501137312339708</v>
      </c>
      <c r="H274" s="204">
        <v>1.4000000000000001</v>
      </c>
      <c r="I274" s="204">
        <v>1.8199999999999998</v>
      </c>
    </row>
    <row r="275" spans="3:9" hidden="1" outlineLevel="1" x14ac:dyDescent="0.25">
      <c r="C275" s="768" t="s">
        <v>194</v>
      </c>
      <c r="D275" s="768">
        <v>46</v>
      </c>
      <c r="E275" s="508">
        <v>1.8150341193701911</v>
      </c>
      <c r="F275" s="508">
        <v>0.79861501252288414</v>
      </c>
      <c r="G275" s="1057">
        <v>60.501137312339708</v>
      </c>
      <c r="H275" s="204">
        <v>1.4000000000000001</v>
      </c>
      <c r="I275" s="204">
        <v>1.8199999999999998</v>
      </c>
    </row>
    <row r="276" spans="3:9" hidden="1" outlineLevel="1" x14ac:dyDescent="0.25">
      <c r="C276" s="768" t="s">
        <v>192</v>
      </c>
      <c r="D276" s="768">
        <v>44</v>
      </c>
      <c r="E276" s="508">
        <v>1.9602368489198065</v>
      </c>
      <c r="F276" s="508">
        <v>1.6386150125228842</v>
      </c>
      <c r="G276" s="1057">
        <v>93.501137312339708</v>
      </c>
      <c r="H276" s="204">
        <v>1.4000000000000001</v>
      </c>
      <c r="I276" s="204">
        <v>1.8199999999999998</v>
      </c>
    </row>
    <row r="277" spans="3:9" hidden="1" outlineLevel="1" x14ac:dyDescent="0.25">
      <c r="C277" s="768" t="s">
        <v>193</v>
      </c>
      <c r="D277" s="768">
        <v>45</v>
      </c>
      <c r="E277" s="508">
        <v>1.9602368489198065</v>
      </c>
      <c r="F277" s="508">
        <v>1.3586150125228842</v>
      </c>
      <c r="G277" s="1057">
        <v>71.501137312339708</v>
      </c>
      <c r="H277" s="204">
        <v>1.4000000000000001</v>
      </c>
      <c r="I277" s="204">
        <v>1.8199999999999998</v>
      </c>
    </row>
    <row r="278" spans="3:9" hidden="1" outlineLevel="1" x14ac:dyDescent="0.25">
      <c r="C278" s="768" t="s">
        <v>191</v>
      </c>
      <c r="D278" s="768">
        <v>43</v>
      </c>
      <c r="E278" s="508">
        <v>1.9602368489198065</v>
      </c>
      <c r="F278" s="508">
        <v>0.79861501252288414</v>
      </c>
      <c r="G278" s="1057">
        <v>60.501137312339708</v>
      </c>
      <c r="H278" s="204">
        <v>1.4000000000000001</v>
      </c>
      <c r="I278" s="204">
        <v>1.8199999999999998</v>
      </c>
    </row>
    <row r="279" spans="3:9" hidden="1" outlineLevel="1" x14ac:dyDescent="0.25">
      <c r="C279" s="768" t="s">
        <v>189</v>
      </c>
      <c r="D279" s="768">
        <v>41</v>
      </c>
      <c r="E279" s="508">
        <v>2.1538404883192936</v>
      </c>
      <c r="F279" s="508">
        <v>1.6386150125228842</v>
      </c>
      <c r="G279" s="1057">
        <v>93.501137312339708</v>
      </c>
      <c r="H279" s="204">
        <v>1.4000000000000001</v>
      </c>
      <c r="I279" s="204">
        <v>1.8199999999999998</v>
      </c>
    </row>
    <row r="280" spans="3:9" hidden="1" outlineLevel="1" x14ac:dyDescent="0.25">
      <c r="C280" s="768" t="s">
        <v>190</v>
      </c>
      <c r="D280" s="768">
        <v>42</v>
      </c>
      <c r="E280" s="508">
        <v>2.1538404883192936</v>
      </c>
      <c r="F280" s="508">
        <v>1.3586150125228842</v>
      </c>
      <c r="G280" s="1057">
        <v>71.501137312339708</v>
      </c>
      <c r="H280" s="204">
        <v>1.4000000000000001</v>
      </c>
      <c r="I280" s="204">
        <v>1.8199999999999998</v>
      </c>
    </row>
    <row r="281" spans="3:9" hidden="1" outlineLevel="1" x14ac:dyDescent="0.25">
      <c r="C281" s="768" t="s">
        <v>188</v>
      </c>
      <c r="D281" s="768">
        <v>40</v>
      </c>
      <c r="E281" s="508">
        <v>2.1538404883192936</v>
      </c>
      <c r="F281" s="508">
        <v>0.79861501252288414</v>
      </c>
      <c r="G281" s="1057">
        <v>60.501137312339708</v>
      </c>
      <c r="H281" s="204">
        <v>1.4000000000000001</v>
      </c>
      <c r="I281" s="204">
        <v>1.8199999999999998</v>
      </c>
    </row>
    <row r="282" spans="3:9" hidden="1" outlineLevel="1" x14ac:dyDescent="0.25">
      <c r="C282" s="366" t="s">
        <v>487</v>
      </c>
      <c r="D282" s="366">
        <v>116</v>
      </c>
      <c r="E282" s="541">
        <v>3.15</v>
      </c>
      <c r="F282" s="541">
        <v>2.27</v>
      </c>
      <c r="G282" s="542">
        <v>223</v>
      </c>
      <c r="H282" s="271">
        <v>5.5</v>
      </c>
      <c r="I282" s="271">
        <v>5.9</v>
      </c>
    </row>
    <row r="283" spans="3:9" hidden="1" outlineLevel="1" x14ac:dyDescent="0.25">
      <c r="C283" s="366" t="s">
        <v>488</v>
      </c>
      <c r="D283" s="366">
        <v>117</v>
      </c>
      <c r="E283" s="541">
        <v>2.65</v>
      </c>
      <c r="F283" s="541">
        <v>1.87</v>
      </c>
      <c r="G283" s="542">
        <v>178</v>
      </c>
      <c r="H283" s="271">
        <v>4.3</v>
      </c>
      <c r="I283" s="271">
        <v>4.4000000000000004</v>
      </c>
    </row>
    <row r="284" spans="3:9" hidden="1" outlineLevel="1" x14ac:dyDescent="0.25">
      <c r="C284" s="366" t="s">
        <v>237</v>
      </c>
      <c r="D284" s="366">
        <v>115</v>
      </c>
      <c r="E284" s="541">
        <v>2.6</v>
      </c>
      <c r="F284" s="541">
        <v>2.5099999999999998</v>
      </c>
      <c r="G284" s="542">
        <v>248</v>
      </c>
      <c r="H284" s="271">
        <v>6</v>
      </c>
      <c r="I284" s="271">
        <v>6.5</v>
      </c>
    </row>
    <row r="285" spans="3:9" hidden="1" outlineLevel="1" x14ac:dyDescent="0.25">
      <c r="C285" s="366" t="s">
        <v>489</v>
      </c>
      <c r="D285" s="366">
        <v>113</v>
      </c>
      <c r="E285" s="541">
        <v>2.5499999999999998</v>
      </c>
      <c r="F285" s="541">
        <v>1.57</v>
      </c>
      <c r="G285" s="542">
        <v>148</v>
      </c>
      <c r="H285" s="271">
        <v>3.8</v>
      </c>
      <c r="I285" s="271">
        <v>3.8</v>
      </c>
    </row>
    <row r="286" spans="3:9" hidden="1" outlineLevel="1" x14ac:dyDescent="0.25">
      <c r="C286" s="366" t="s">
        <v>490</v>
      </c>
      <c r="D286" s="366">
        <v>114</v>
      </c>
      <c r="E286" s="541">
        <v>2.2999999999999998</v>
      </c>
      <c r="F286" s="541">
        <v>1.43</v>
      </c>
      <c r="G286" s="542">
        <v>128</v>
      </c>
      <c r="H286" s="271">
        <v>3.3</v>
      </c>
      <c r="I286" s="271">
        <v>2.9</v>
      </c>
    </row>
    <row r="287" spans="3:9" hidden="1" outlineLevel="1" x14ac:dyDescent="0.25">
      <c r="C287" s="366" t="s">
        <v>236</v>
      </c>
      <c r="D287" s="366">
        <v>112</v>
      </c>
      <c r="E287" s="541">
        <v>2.12</v>
      </c>
      <c r="F287" s="541">
        <v>1.75</v>
      </c>
      <c r="G287" s="542">
        <v>168</v>
      </c>
      <c r="H287" s="271">
        <v>4.2</v>
      </c>
      <c r="I287" s="271">
        <v>4.3</v>
      </c>
    </row>
    <row r="288" spans="3:9" hidden="1" outlineLevel="1" x14ac:dyDescent="0.25">
      <c r="C288" s="366" t="s">
        <v>882</v>
      </c>
      <c r="D288" s="366"/>
      <c r="E288" s="775">
        <v>3.45</v>
      </c>
      <c r="F288" s="775">
        <v>2.4700000000000002</v>
      </c>
      <c r="G288" s="776">
        <v>248</v>
      </c>
      <c r="H288" s="271">
        <v>6</v>
      </c>
      <c r="I288" s="271">
        <v>6.5</v>
      </c>
    </row>
    <row r="289" spans="3:9" hidden="1" outlineLevel="1" x14ac:dyDescent="0.25">
      <c r="C289" s="366" t="s">
        <v>883</v>
      </c>
      <c r="D289" s="366"/>
      <c r="E289" s="775">
        <v>2.75</v>
      </c>
      <c r="F289" s="775">
        <v>2.02</v>
      </c>
      <c r="G289" s="776">
        <v>198</v>
      </c>
      <c r="H289" s="271">
        <v>4.5999999999999996</v>
      </c>
      <c r="I289" s="271">
        <v>4.7</v>
      </c>
    </row>
    <row r="290" spans="3:9" hidden="1" outlineLevel="1" x14ac:dyDescent="0.25">
      <c r="C290" s="366" t="s">
        <v>884</v>
      </c>
      <c r="D290" s="366"/>
      <c r="E290" s="775">
        <v>2.84</v>
      </c>
      <c r="F290" s="775">
        <v>2.81</v>
      </c>
      <c r="G290" s="776">
        <v>278</v>
      </c>
      <c r="H290" s="271">
        <v>6.6</v>
      </c>
      <c r="I290" s="271">
        <v>7.3</v>
      </c>
    </row>
    <row r="291" spans="3:9" hidden="1" outlineLevel="1" x14ac:dyDescent="0.25">
      <c r="C291" s="769" t="s">
        <v>1131</v>
      </c>
      <c r="D291" s="768"/>
      <c r="E291" s="770">
        <v>2.1667185881236102</v>
      </c>
      <c r="F291" s="770">
        <f t="shared" ref="F291:F299" si="7">F255+0.08</f>
        <v>1.1200000000000001</v>
      </c>
      <c r="G291" s="771">
        <f t="shared" ref="G291:G299" si="8">G255+7</f>
        <v>76</v>
      </c>
      <c r="H291" s="770">
        <v>2.1</v>
      </c>
      <c r="I291" s="770">
        <v>1.6</v>
      </c>
    </row>
    <row r="292" spans="3:9" hidden="1" outlineLevel="1" x14ac:dyDescent="0.25">
      <c r="C292" s="769" t="s">
        <v>1132</v>
      </c>
      <c r="D292" s="768"/>
      <c r="E292" s="770">
        <v>2.3807154857160602</v>
      </c>
      <c r="F292" s="770">
        <f t="shared" si="7"/>
        <v>1.07</v>
      </c>
      <c r="G292" s="771">
        <f t="shared" si="8"/>
        <v>72</v>
      </c>
      <c r="H292" s="770">
        <v>2.1</v>
      </c>
      <c r="I292" s="770">
        <v>1.6</v>
      </c>
    </row>
    <row r="293" spans="3:9" hidden="1" outlineLevel="1" x14ac:dyDescent="0.25">
      <c r="C293" s="769" t="s">
        <v>1133</v>
      </c>
      <c r="D293" s="768"/>
      <c r="E293" s="770">
        <v>2.5947123833085199</v>
      </c>
      <c r="F293" s="770">
        <f t="shared" si="7"/>
        <v>1.03</v>
      </c>
      <c r="G293" s="771">
        <f t="shared" si="8"/>
        <v>69</v>
      </c>
      <c r="H293" s="770">
        <v>2.1</v>
      </c>
      <c r="I293" s="770">
        <v>1.6</v>
      </c>
    </row>
    <row r="294" spans="3:9" hidden="1" outlineLevel="1" x14ac:dyDescent="0.25">
      <c r="C294" s="769" t="s">
        <v>1143</v>
      </c>
      <c r="D294" s="768"/>
      <c r="E294" s="770">
        <v>2.1667185881236102</v>
      </c>
      <c r="F294" s="770">
        <f t="shared" si="7"/>
        <v>1.4000000000000001</v>
      </c>
      <c r="G294" s="771">
        <f t="shared" si="8"/>
        <v>87</v>
      </c>
      <c r="H294" s="770">
        <v>2.1</v>
      </c>
      <c r="I294" s="770">
        <v>1.6</v>
      </c>
    </row>
    <row r="295" spans="3:9" hidden="1" outlineLevel="1" x14ac:dyDescent="0.25">
      <c r="C295" s="769" t="s">
        <v>1144</v>
      </c>
      <c r="D295" s="768"/>
      <c r="E295" s="770">
        <v>2.3807154857160602</v>
      </c>
      <c r="F295" s="770">
        <f t="shared" si="7"/>
        <v>1.35</v>
      </c>
      <c r="G295" s="771">
        <f t="shared" si="8"/>
        <v>83</v>
      </c>
      <c r="H295" s="770">
        <v>2.1</v>
      </c>
      <c r="I295" s="770">
        <v>1.6</v>
      </c>
    </row>
    <row r="296" spans="3:9" hidden="1" outlineLevel="1" x14ac:dyDescent="0.25">
      <c r="C296" s="769" t="s">
        <v>1145</v>
      </c>
      <c r="D296" s="768"/>
      <c r="E296" s="770">
        <v>2.5947123833085199</v>
      </c>
      <c r="F296" s="770">
        <f t="shared" si="7"/>
        <v>1.31</v>
      </c>
      <c r="G296" s="771">
        <f t="shared" si="8"/>
        <v>80</v>
      </c>
      <c r="H296" s="770">
        <v>2.1</v>
      </c>
      <c r="I296" s="770">
        <v>1.6</v>
      </c>
    </row>
    <row r="297" spans="3:9" hidden="1" outlineLevel="1" x14ac:dyDescent="0.25">
      <c r="C297" s="769" t="s">
        <v>1111</v>
      </c>
      <c r="D297" s="768"/>
      <c r="E297" s="770">
        <v>2.1667185881236102</v>
      </c>
      <c r="F297" s="770">
        <f t="shared" si="7"/>
        <v>1.6800000000000002</v>
      </c>
      <c r="G297" s="771">
        <f t="shared" si="8"/>
        <v>98</v>
      </c>
      <c r="H297" s="770">
        <v>2.1</v>
      </c>
      <c r="I297" s="770">
        <v>1.6</v>
      </c>
    </row>
    <row r="298" spans="3:9" hidden="1" outlineLevel="1" x14ac:dyDescent="0.25">
      <c r="C298" s="769" t="s">
        <v>1112</v>
      </c>
      <c r="D298" s="768"/>
      <c r="E298" s="770">
        <v>2.3807154857160602</v>
      </c>
      <c r="F298" s="770">
        <f t="shared" si="7"/>
        <v>1.6300000000000001</v>
      </c>
      <c r="G298" s="771">
        <f t="shared" si="8"/>
        <v>94</v>
      </c>
      <c r="H298" s="770">
        <v>2.1</v>
      </c>
      <c r="I298" s="770">
        <v>1.6</v>
      </c>
    </row>
    <row r="299" spans="3:9" hidden="1" outlineLevel="1" x14ac:dyDescent="0.25">
      <c r="C299" s="769" t="s">
        <v>1113</v>
      </c>
      <c r="D299" s="768"/>
      <c r="E299" s="770">
        <v>2.5947123833085199</v>
      </c>
      <c r="F299" s="770">
        <f t="shared" si="7"/>
        <v>1.59</v>
      </c>
      <c r="G299" s="771">
        <f t="shared" si="8"/>
        <v>91</v>
      </c>
      <c r="H299" s="770">
        <v>2.1</v>
      </c>
      <c r="I299" s="770">
        <v>1.6</v>
      </c>
    </row>
    <row r="300" spans="3:9" hidden="1" outlineLevel="1" x14ac:dyDescent="0.25">
      <c r="C300" s="768" t="s">
        <v>227</v>
      </c>
      <c r="D300" s="768">
        <v>90</v>
      </c>
      <c r="E300" s="541">
        <v>1.81</v>
      </c>
      <c r="F300" s="541">
        <v>1.54</v>
      </c>
      <c r="G300" s="270">
        <v>175</v>
      </c>
      <c r="H300" s="271">
        <v>4.2</v>
      </c>
      <c r="I300" s="271">
        <v>5.2</v>
      </c>
    </row>
    <row r="301" spans="3:9" hidden="1" outlineLevel="1" x14ac:dyDescent="0.25">
      <c r="C301" s="768" t="s">
        <v>501</v>
      </c>
      <c r="D301" s="768">
        <v>89</v>
      </c>
      <c r="E301" s="541">
        <v>1.81</v>
      </c>
      <c r="F301" s="541">
        <v>1.18</v>
      </c>
      <c r="G301" s="270">
        <v>149</v>
      </c>
      <c r="H301" s="271">
        <v>3.5</v>
      </c>
      <c r="I301" s="271">
        <v>3.7</v>
      </c>
    </row>
    <row r="302" spans="3:9" hidden="1" outlineLevel="1" x14ac:dyDescent="0.25">
      <c r="C302" s="768" t="s">
        <v>226</v>
      </c>
      <c r="D302" s="768">
        <v>88</v>
      </c>
      <c r="E302" s="541">
        <v>1.81</v>
      </c>
      <c r="F302" s="541">
        <v>0.97000000000000008</v>
      </c>
      <c r="G302" s="270">
        <v>114</v>
      </c>
      <c r="H302" s="271">
        <v>3.0999999999999996</v>
      </c>
      <c r="I302" s="271">
        <v>2.9000000000000004</v>
      </c>
    </row>
    <row r="303" spans="3:9" hidden="1" outlineLevel="1" x14ac:dyDescent="0.25">
      <c r="C303" s="768" t="s">
        <v>229</v>
      </c>
      <c r="D303" s="768">
        <v>93</v>
      </c>
      <c r="E303" s="541">
        <v>1.7749999999999999</v>
      </c>
      <c r="F303" s="541">
        <v>1.4</v>
      </c>
      <c r="G303" s="542">
        <v>153.5</v>
      </c>
      <c r="H303" s="271">
        <v>3.8</v>
      </c>
      <c r="I303" s="271">
        <v>4.3499999999999996</v>
      </c>
    </row>
    <row r="304" spans="3:9" hidden="1" outlineLevel="1" x14ac:dyDescent="0.25">
      <c r="C304" s="768" t="s">
        <v>502</v>
      </c>
      <c r="D304" s="768">
        <v>92</v>
      </c>
      <c r="E304" s="541">
        <v>1.7749999999999999</v>
      </c>
      <c r="F304" s="541">
        <v>1.1200000000000001</v>
      </c>
      <c r="G304" s="542">
        <v>133</v>
      </c>
      <c r="H304" s="271">
        <v>3.25</v>
      </c>
      <c r="I304" s="271">
        <v>3.25</v>
      </c>
    </row>
    <row r="305" spans="3:9" hidden="1" outlineLevel="1" x14ac:dyDescent="0.25">
      <c r="C305" s="768" t="s">
        <v>228</v>
      </c>
      <c r="D305" s="768">
        <v>91</v>
      </c>
      <c r="E305" s="541">
        <v>1.7749999999999999</v>
      </c>
      <c r="F305" s="541">
        <v>0.94499999999999995</v>
      </c>
      <c r="G305" s="542">
        <v>103.5</v>
      </c>
      <c r="H305" s="271">
        <v>2.95</v>
      </c>
      <c r="I305" s="271">
        <v>2.6000000000000005</v>
      </c>
    </row>
    <row r="306" spans="3:9" hidden="1" outlineLevel="1" x14ac:dyDescent="0.25">
      <c r="C306" s="768" t="s">
        <v>225</v>
      </c>
      <c r="D306" s="768">
        <v>87</v>
      </c>
      <c r="E306" s="541">
        <v>1.74</v>
      </c>
      <c r="F306" s="541">
        <v>1.26</v>
      </c>
      <c r="G306" s="270">
        <v>132</v>
      </c>
      <c r="H306" s="271">
        <v>3.4</v>
      </c>
      <c r="I306" s="271">
        <v>3.5</v>
      </c>
    </row>
    <row r="307" spans="3:9" hidden="1" outlineLevel="1" x14ac:dyDescent="0.25">
      <c r="C307" s="768" t="s">
        <v>503</v>
      </c>
      <c r="D307" s="768">
        <v>86</v>
      </c>
      <c r="E307" s="541">
        <v>1.74</v>
      </c>
      <c r="F307" s="541">
        <v>1.06</v>
      </c>
      <c r="G307" s="270">
        <v>117</v>
      </c>
      <c r="H307" s="271">
        <v>3</v>
      </c>
      <c r="I307" s="271">
        <v>2.8</v>
      </c>
    </row>
    <row r="308" spans="3:9" hidden="1" outlineLevel="1" x14ac:dyDescent="0.25">
      <c r="C308" s="768" t="s">
        <v>224</v>
      </c>
      <c r="D308" s="768">
        <v>85</v>
      </c>
      <c r="E308" s="541">
        <v>1.74</v>
      </c>
      <c r="F308" s="541">
        <v>0.92</v>
      </c>
      <c r="G308" s="270">
        <v>93</v>
      </c>
      <c r="H308" s="271">
        <v>2.8</v>
      </c>
      <c r="I308" s="271">
        <v>2.3000000000000003</v>
      </c>
    </row>
    <row r="309" spans="3:9" hidden="1" outlineLevel="1" x14ac:dyDescent="0.25">
      <c r="C309" s="768" t="s">
        <v>204</v>
      </c>
      <c r="D309" s="768">
        <v>56</v>
      </c>
      <c r="E309" s="508">
        <v>2.0062209149292656</v>
      </c>
      <c r="F309" s="508">
        <v>1.7227372025688767</v>
      </c>
      <c r="G309" s="1057">
        <v>99.874030497642181</v>
      </c>
      <c r="H309" s="204">
        <v>1.6</v>
      </c>
      <c r="I309" s="204">
        <v>2.08</v>
      </c>
    </row>
    <row r="310" spans="3:9" hidden="1" outlineLevel="1" x14ac:dyDescent="0.25">
      <c r="C310" s="768" t="s">
        <v>205</v>
      </c>
      <c r="D310" s="768">
        <v>57</v>
      </c>
      <c r="E310" s="508">
        <v>2.0062209149292656</v>
      </c>
      <c r="F310" s="508">
        <v>1.4427372025688769</v>
      </c>
      <c r="G310" s="1057">
        <v>77.874030497642181</v>
      </c>
      <c r="H310" s="204">
        <v>1.6</v>
      </c>
      <c r="I310" s="204">
        <v>2.08</v>
      </c>
    </row>
    <row r="311" spans="3:9" hidden="1" outlineLevel="1" x14ac:dyDescent="0.25">
      <c r="C311" s="768" t="s">
        <v>203</v>
      </c>
      <c r="D311" s="768">
        <v>55</v>
      </c>
      <c r="E311" s="508">
        <v>2.0062209149292656</v>
      </c>
      <c r="F311" s="508">
        <v>0.88273720256887689</v>
      </c>
      <c r="G311" s="1057">
        <v>66.874030497642181</v>
      </c>
      <c r="H311" s="204">
        <v>1.6</v>
      </c>
      <c r="I311" s="204">
        <v>2.08</v>
      </c>
    </row>
    <row r="312" spans="3:9" hidden="1" outlineLevel="1" x14ac:dyDescent="0.25">
      <c r="C312" s="768" t="s">
        <v>201</v>
      </c>
      <c r="D312" s="768">
        <v>53</v>
      </c>
      <c r="E312" s="508">
        <v>2.1667185881236066</v>
      </c>
      <c r="F312" s="508">
        <v>1.7227372025688767</v>
      </c>
      <c r="G312" s="1057">
        <v>99.874030497642181</v>
      </c>
      <c r="H312" s="204">
        <v>1.6</v>
      </c>
      <c r="I312" s="204">
        <v>2.08</v>
      </c>
    </row>
    <row r="313" spans="3:9" hidden="1" outlineLevel="1" x14ac:dyDescent="0.25">
      <c r="C313" s="768" t="s">
        <v>202</v>
      </c>
      <c r="D313" s="768">
        <v>54</v>
      </c>
      <c r="E313" s="508">
        <v>2.1667185881236066</v>
      </c>
      <c r="F313" s="508">
        <v>1.4427372025688769</v>
      </c>
      <c r="G313" s="1057">
        <v>77.874030497642181</v>
      </c>
      <c r="H313" s="204">
        <v>1.6</v>
      </c>
      <c r="I313" s="204">
        <v>2.08</v>
      </c>
    </row>
    <row r="314" spans="3:9" hidden="1" outlineLevel="1" x14ac:dyDescent="0.25">
      <c r="C314" s="768" t="s">
        <v>200</v>
      </c>
      <c r="D314" s="768">
        <v>52</v>
      </c>
      <c r="E314" s="508">
        <v>2.1667185881236066</v>
      </c>
      <c r="F314" s="508">
        <v>0.88273720256887689</v>
      </c>
      <c r="G314" s="1057">
        <v>66.874030497642181</v>
      </c>
      <c r="H314" s="204">
        <v>1.6</v>
      </c>
      <c r="I314" s="204">
        <v>2.08</v>
      </c>
    </row>
    <row r="315" spans="3:9" hidden="1" outlineLevel="1" x14ac:dyDescent="0.25">
      <c r="C315" s="768" t="s">
        <v>198</v>
      </c>
      <c r="D315" s="768">
        <v>50</v>
      </c>
      <c r="E315" s="508">
        <v>2.3807154857160615</v>
      </c>
      <c r="F315" s="508">
        <v>1.7227372025688767</v>
      </c>
      <c r="G315" s="1057">
        <v>99.874030497642181</v>
      </c>
      <c r="H315" s="204">
        <v>1.6</v>
      </c>
      <c r="I315" s="204">
        <v>2.08</v>
      </c>
    </row>
    <row r="316" spans="3:9" hidden="1" outlineLevel="1" x14ac:dyDescent="0.25">
      <c r="C316" s="768" t="s">
        <v>199</v>
      </c>
      <c r="D316" s="768">
        <v>51</v>
      </c>
      <c r="E316" s="508">
        <v>2.3807154857160615</v>
      </c>
      <c r="F316" s="508">
        <v>1.4427372025688769</v>
      </c>
      <c r="G316" s="1057">
        <v>77.874030497642181</v>
      </c>
      <c r="H316" s="204">
        <v>1.6</v>
      </c>
      <c r="I316" s="204">
        <v>2.08</v>
      </c>
    </row>
    <row r="317" spans="3:9" hidden="1" outlineLevel="1" x14ac:dyDescent="0.25">
      <c r="C317" s="768" t="s">
        <v>197</v>
      </c>
      <c r="D317" s="768">
        <v>49</v>
      </c>
      <c r="E317" s="508">
        <v>2.3807154857160615</v>
      </c>
      <c r="F317" s="508">
        <v>0.88273720256887689</v>
      </c>
      <c r="G317" s="1057">
        <v>66.874030497642181</v>
      </c>
      <c r="H317" s="204">
        <v>1.6</v>
      </c>
      <c r="I317" s="204">
        <v>2.08</v>
      </c>
    </row>
    <row r="318" spans="3:9" hidden="1" outlineLevel="1" x14ac:dyDescent="0.25">
      <c r="C318" s="366" t="s">
        <v>782</v>
      </c>
      <c r="D318" s="366">
        <v>116</v>
      </c>
      <c r="E318" s="541" t="s">
        <v>238</v>
      </c>
      <c r="F318" s="541" t="s">
        <v>238</v>
      </c>
      <c r="G318" s="542" t="s">
        <v>238</v>
      </c>
      <c r="H318" s="271" t="s">
        <v>238</v>
      </c>
      <c r="I318" s="271" t="s">
        <v>238</v>
      </c>
    </row>
    <row r="319" spans="3:9" hidden="1" outlineLevel="1" x14ac:dyDescent="0.25">
      <c r="C319" s="366" t="s">
        <v>783</v>
      </c>
      <c r="D319" s="366">
        <v>117</v>
      </c>
      <c r="E319" s="541" t="s">
        <v>238</v>
      </c>
      <c r="F319" s="541" t="s">
        <v>238</v>
      </c>
      <c r="G319" s="542" t="s">
        <v>238</v>
      </c>
      <c r="H319" s="271" t="s">
        <v>238</v>
      </c>
      <c r="I319" s="271" t="s">
        <v>238</v>
      </c>
    </row>
    <row r="320" spans="3:9" hidden="1" outlineLevel="1" x14ac:dyDescent="0.25">
      <c r="C320" s="366" t="s">
        <v>784</v>
      </c>
      <c r="D320" s="366">
        <v>115</v>
      </c>
      <c r="E320" s="541" t="s">
        <v>238</v>
      </c>
      <c r="F320" s="541" t="s">
        <v>238</v>
      </c>
      <c r="G320" s="542" t="s">
        <v>238</v>
      </c>
      <c r="H320" s="271" t="s">
        <v>238</v>
      </c>
      <c r="I320" s="271" t="s">
        <v>238</v>
      </c>
    </row>
    <row r="321" spans="3:9" hidden="1" outlineLevel="1" x14ac:dyDescent="0.25">
      <c r="C321" s="366" t="s">
        <v>785</v>
      </c>
      <c r="D321" s="366">
        <v>113</v>
      </c>
      <c r="E321" s="541" t="s">
        <v>238</v>
      </c>
      <c r="F321" s="541" t="s">
        <v>238</v>
      </c>
      <c r="G321" s="542" t="s">
        <v>238</v>
      </c>
      <c r="H321" s="271" t="s">
        <v>238</v>
      </c>
      <c r="I321" s="271" t="s">
        <v>238</v>
      </c>
    </row>
    <row r="322" spans="3:9" hidden="1" outlineLevel="1" x14ac:dyDescent="0.25">
      <c r="C322" s="366" t="s">
        <v>786</v>
      </c>
      <c r="D322" s="366">
        <v>114</v>
      </c>
      <c r="E322" s="541" t="s">
        <v>238</v>
      </c>
      <c r="F322" s="541" t="s">
        <v>238</v>
      </c>
      <c r="G322" s="542" t="s">
        <v>238</v>
      </c>
      <c r="H322" s="271" t="s">
        <v>238</v>
      </c>
      <c r="I322" s="271" t="s">
        <v>238</v>
      </c>
    </row>
    <row r="323" spans="3:9" hidden="1" outlineLevel="1" x14ac:dyDescent="0.25">
      <c r="C323" s="366" t="s">
        <v>787</v>
      </c>
      <c r="D323" s="366">
        <v>112</v>
      </c>
      <c r="E323" s="541" t="s">
        <v>238</v>
      </c>
      <c r="F323" s="541" t="s">
        <v>238</v>
      </c>
      <c r="G323" s="542" t="s">
        <v>238</v>
      </c>
      <c r="H323" s="271" t="s">
        <v>238</v>
      </c>
      <c r="I323" s="271" t="s">
        <v>238</v>
      </c>
    </row>
    <row r="324" spans="3:9" hidden="1" outlineLevel="1" x14ac:dyDescent="0.25">
      <c r="C324" s="366" t="s">
        <v>885</v>
      </c>
      <c r="D324" s="366"/>
      <c r="E324" s="541" t="s">
        <v>238</v>
      </c>
      <c r="F324" s="541" t="s">
        <v>238</v>
      </c>
      <c r="G324" s="542" t="s">
        <v>238</v>
      </c>
      <c r="H324" s="271" t="s">
        <v>238</v>
      </c>
      <c r="I324" s="271" t="s">
        <v>238</v>
      </c>
    </row>
    <row r="325" spans="3:9" hidden="1" outlineLevel="1" x14ac:dyDescent="0.25">
      <c r="C325" s="366" t="s">
        <v>886</v>
      </c>
      <c r="D325" s="366"/>
      <c r="E325" s="541" t="s">
        <v>238</v>
      </c>
      <c r="F325" s="541" t="s">
        <v>238</v>
      </c>
      <c r="G325" s="542" t="s">
        <v>238</v>
      </c>
      <c r="H325" s="271" t="s">
        <v>238</v>
      </c>
      <c r="I325" s="271" t="s">
        <v>238</v>
      </c>
    </row>
    <row r="326" spans="3:9" hidden="1" outlineLevel="1" x14ac:dyDescent="0.25">
      <c r="C326" s="366" t="s">
        <v>887</v>
      </c>
      <c r="D326" s="366"/>
      <c r="E326" s="541" t="s">
        <v>238</v>
      </c>
      <c r="F326" s="541" t="s">
        <v>238</v>
      </c>
      <c r="G326" s="542" t="s">
        <v>238</v>
      </c>
      <c r="H326" s="271" t="s">
        <v>238</v>
      </c>
      <c r="I326" s="271" t="s">
        <v>238</v>
      </c>
    </row>
    <row r="327" spans="3:9" hidden="1" outlineLevel="1" x14ac:dyDescent="0.25">
      <c r="C327" s="768" t="s">
        <v>788</v>
      </c>
      <c r="D327" s="768">
        <v>90</v>
      </c>
      <c r="E327" s="541" t="s">
        <v>238</v>
      </c>
      <c r="F327" s="541" t="s">
        <v>238</v>
      </c>
      <c r="G327" s="542" t="s">
        <v>238</v>
      </c>
      <c r="H327" s="271" t="s">
        <v>238</v>
      </c>
      <c r="I327" s="271" t="s">
        <v>238</v>
      </c>
    </row>
    <row r="328" spans="3:9" hidden="1" outlineLevel="1" x14ac:dyDescent="0.25">
      <c r="C328" s="768" t="s">
        <v>789</v>
      </c>
      <c r="D328" s="768">
        <v>89</v>
      </c>
      <c r="E328" s="541" t="s">
        <v>238</v>
      </c>
      <c r="F328" s="541" t="s">
        <v>238</v>
      </c>
      <c r="G328" s="542" t="s">
        <v>238</v>
      </c>
      <c r="H328" s="271" t="s">
        <v>238</v>
      </c>
      <c r="I328" s="271" t="s">
        <v>238</v>
      </c>
    </row>
    <row r="329" spans="3:9" hidden="1" outlineLevel="1" x14ac:dyDescent="0.25">
      <c r="C329" s="768" t="s">
        <v>790</v>
      </c>
      <c r="D329" s="768">
        <v>88</v>
      </c>
      <c r="E329" s="541" t="s">
        <v>238</v>
      </c>
      <c r="F329" s="541" t="s">
        <v>238</v>
      </c>
      <c r="G329" s="542" t="s">
        <v>238</v>
      </c>
      <c r="H329" s="271" t="s">
        <v>238</v>
      </c>
      <c r="I329" s="271" t="s">
        <v>238</v>
      </c>
    </row>
    <row r="330" spans="3:9" hidden="1" outlineLevel="1" x14ac:dyDescent="0.25">
      <c r="C330" s="768" t="s">
        <v>791</v>
      </c>
      <c r="D330" s="768">
        <v>93</v>
      </c>
      <c r="E330" s="541" t="s">
        <v>238</v>
      </c>
      <c r="F330" s="541" t="s">
        <v>238</v>
      </c>
      <c r="G330" s="542" t="s">
        <v>238</v>
      </c>
      <c r="H330" s="271" t="s">
        <v>238</v>
      </c>
      <c r="I330" s="271" t="s">
        <v>238</v>
      </c>
    </row>
    <row r="331" spans="3:9" hidden="1" outlineLevel="1" x14ac:dyDescent="0.25">
      <c r="C331" s="768" t="s">
        <v>792</v>
      </c>
      <c r="D331" s="768">
        <v>92</v>
      </c>
      <c r="E331" s="541" t="s">
        <v>238</v>
      </c>
      <c r="F331" s="541" t="s">
        <v>238</v>
      </c>
      <c r="G331" s="542" t="s">
        <v>238</v>
      </c>
      <c r="H331" s="271" t="s">
        <v>238</v>
      </c>
      <c r="I331" s="271" t="s">
        <v>238</v>
      </c>
    </row>
    <row r="332" spans="3:9" hidden="1" outlineLevel="1" x14ac:dyDescent="0.25">
      <c r="C332" s="768" t="s">
        <v>793</v>
      </c>
      <c r="D332" s="768">
        <v>91</v>
      </c>
      <c r="E332" s="541" t="s">
        <v>238</v>
      </c>
      <c r="F332" s="541" t="s">
        <v>238</v>
      </c>
      <c r="G332" s="542" t="s">
        <v>238</v>
      </c>
      <c r="H332" s="271" t="s">
        <v>238</v>
      </c>
      <c r="I332" s="271" t="s">
        <v>238</v>
      </c>
    </row>
    <row r="333" spans="3:9" hidden="1" outlineLevel="1" x14ac:dyDescent="0.25">
      <c r="C333" s="768" t="s">
        <v>794</v>
      </c>
      <c r="D333" s="768">
        <v>87</v>
      </c>
      <c r="E333" s="203" t="s">
        <v>238</v>
      </c>
      <c r="F333" s="203" t="s">
        <v>238</v>
      </c>
      <c r="G333" s="205" t="s">
        <v>238</v>
      </c>
      <c r="H333" s="204" t="s">
        <v>238</v>
      </c>
      <c r="I333" s="204" t="s">
        <v>238</v>
      </c>
    </row>
    <row r="334" spans="3:9" hidden="1" outlineLevel="1" x14ac:dyDescent="0.25">
      <c r="C334" s="768" t="s">
        <v>795</v>
      </c>
      <c r="D334" s="768">
        <v>86</v>
      </c>
      <c r="E334" s="203" t="s">
        <v>238</v>
      </c>
      <c r="F334" s="203" t="s">
        <v>238</v>
      </c>
      <c r="G334" s="205" t="s">
        <v>238</v>
      </c>
      <c r="H334" s="204" t="s">
        <v>238</v>
      </c>
      <c r="I334" s="204" t="s">
        <v>238</v>
      </c>
    </row>
    <row r="335" spans="3:9" hidden="1" outlineLevel="1" x14ac:dyDescent="0.25">
      <c r="C335" s="768" t="s">
        <v>796</v>
      </c>
      <c r="D335" s="768">
        <v>85</v>
      </c>
      <c r="E335" s="203" t="s">
        <v>238</v>
      </c>
      <c r="F335" s="203" t="s">
        <v>238</v>
      </c>
      <c r="G335" s="205" t="s">
        <v>238</v>
      </c>
      <c r="H335" s="204" t="s">
        <v>238</v>
      </c>
      <c r="I335" s="204" t="s">
        <v>238</v>
      </c>
    </row>
    <row r="336" spans="3:9" hidden="1" outlineLevel="1" x14ac:dyDescent="0.25">
      <c r="C336" s="768" t="s">
        <v>797</v>
      </c>
      <c r="D336" s="768">
        <v>56</v>
      </c>
      <c r="E336" s="203" t="s">
        <v>238</v>
      </c>
      <c r="F336" s="203" t="s">
        <v>238</v>
      </c>
      <c r="G336" s="205" t="s">
        <v>238</v>
      </c>
      <c r="H336" s="204" t="s">
        <v>238</v>
      </c>
      <c r="I336" s="204" t="s">
        <v>238</v>
      </c>
    </row>
    <row r="337" spans="3:9" hidden="1" outlineLevel="1" x14ac:dyDescent="0.25">
      <c r="C337" s="768" t="s">
        <v>798</v>
      </c>
      <c r="D337" s="768">
        <v>57</v>
      </c>
      <c r="E337" s="203" t="s">
        <v>238</v>
      </c>
      <c r="F337" s="203" t="s">
        <v>238</v>
      </c>
      <c r="G337" s="205" t="s">
        <v>238</v>
      </c>
      <c r="H337" s="204" t="s">
        <v>238</v>
      </c>
      <c r="I337" s="204" t="s">
        <v>238</v>
      </c>
    </row>
    <row r="338" spans="3:9" hidden="1" outlineLevel="1" x14ac:dyDescent="0.25">
      <c r="C338" s="768" t="s">
        <v>799</v>
      </c>
      <c r="D338" s="768">
        <v>55</v>
      </c>
      <c r="E338" s="203" t="s">
        <v>238</v>
      </c>
      <c r="F338" s="203" t="s">
        <v>238</v>
      </c>
      <c r="G338" s="205" t="s">
        <v>238</v>
      </c>
      <c r="H338" s="204" t="s">
        <v>238</v>
      </c>
      <c r="I338" s="204" t="s">
        <v>238</v>
      </c>
    </row>
    <row r="339" spans="3:9" hidden="1" outlineLevel="1" x14ac:dyDescent="0.25">
      <c r="C339" s="768" t="s">
        <v>800</v>
      </c>
      <c r="D339" s="768">
        <v>53</v>
      </c>
      <c r="E339" s="203" t="s">
        <v>238</v>
      </c>
      <c r="F339" s="203" t="s">
        <v>238</v>
      </c>
      <c r="G339" s="205" t="s">
        <v>238</v>
      </c>
      <c r="H339" s="204" t="s">
        <v>238</v>
      </c>
      <c r="I339" s="204" t="s">
        <v>238</v>
      </c>
    </row>
    <row r="340" spans="3:9" hidden="1" outlineLevel="1" x14ac:dyDescent="0.25">
      <c r="C340" s="768" t="s">
        <v>801</v>
      </c>
      <c r="D340" s="768">
        <v>54</v>
      </c>
      <c r="E340" s="203" t="s">
        <v>238</v>
      </c>
      <c r="F340" s="203" t="s">
        <v>238</v>
      </c>
      <c r="G340" s="205" t="s">
        <v>238</v>
      </c>
      <c r="H340" s="204" t="s">
        <v>238</v>
      </c>
      <c r="I340" s="204" t="s">
        <v>238</v>
      </c>
    </row>
    <row r="341" spans="3:9" hidden="1" outlineLevel="1" x14ac:dyDescent="0.25">
      <c r="C341" s="768" t="s">
        <v>802</v>
      </c>
      <c r="D341" s="768">
        <v>52</v>
      </c>
      <c r="E341" s="203" t="s">
        <v>238</v>
      </c>
      <c r="F341" s="203" t="s">
        <v>238</v>
      </c>
      <c r="G341" s="205" t="s">
        <v>238</v>
      </c>
      <c r="H341" s="204" t="s">
        <v>238</v>
      </c>
      <c r="I341" s="204" t="s">
        <v>238</v>
      </c>
    </row>
    <row r="342" spans="3:9" hidden="1" outlineLevel="1" x14ac:dyDescent="0.25">
      <c r="C342" s="768" t="s">
        <v>803</v>
      </c>
      <c r="D342" s="768">
        <v>50</v>
      </c>
      <c r="E342" s="203" t="s">
        <v>238</v>
      </c>
      <c r="F342" s="203" t="s">
        <v>238</v>
      </c>
      <c r="G342" s="205" t="s">
        <v>238</v>
      </c>
      <c r="H342" s="204" t="s">
        <v>238</v>
      </c>
      <c r="I342" s="204" t="s">
        <v>238</v>
      </c>
    </row>
    <row r="343" spans="3:9" hidden="1" outlineLevel="1" x14ac:dyDescent="0.25">
      <c r="C343" s="768" t="s">
        <v>804</v>
      </c>
      <c r="D343" s="768">
        <v>51</v>
      </c>
      <c r="E343" s="203" t="s">
        <v>238</v>
      </c>
      <c r="F343" s="203" t="s">
        <v>238</v>
      </c>
      <c r="G343" s="205" t="s">
        <v>238</v>
      </c>
      <c r="H343" s="204" t="s">
        <v>238</v>
      </c>
      <c r="I343" s="204" t="s">
        <v>238</v>
      </c>
    </row>
    <row r="344" spans="3:9" hidden="1" outlineLevel="1" x14ac:dyDescent="0.25">
      <c r="C344" s="768" t="s">
        <v>805</v>
      </c>
      <c r="D344" s="768">
        <v>49</v>
      </c>
      <c r="E344" s="203" t="s">
        <v>238</v>
      </c>
      <c r="F344" s="203" t="s">
        <v>238</v>
      </c>
      <c r="G344" s="205" t="s">
        <v>238</v>
      </c>
      <c r="H344" s="204" t="s">
        <v>238</v>
      </c>
      <c r="I344" s="204" t="s">
        <v>238</v>
      </c>
    </row>
    <row r="345" spans="3:9" hidden="1" outlineLevel="1" x14ac:dyDescent="0.25">
      <c r="C345" s="768" t="s">
        <v>863</v>
      </c>
      <c r="D345" s="768"/>
      <c r="E345" s="756" t="s">
        <v>238</v>
      </c>
      <c r="F345" s="756" t="s">
        <v>238</v>
      </c>
      <c r="G345" s="756" t="s">
        <v>238</v>
      </c>
      <c r="H345" s="758" t="s">
        <v>238</v>
      </c>
      <c r="I345" s="758" t="s">
        <v>238</v>
      </c>
    </row>
    <row r="346" spans="3:9" hidden="1" outlineLevel="1" x14ac:dyDescent="0.25">
      <c r="C346" s="768" t="s">
        <v>864</v>
      </c>
      <c r="D346" s="768"/>
      <c r="E346" s="756" t="s">
        <v>238</v>
      </c>
      <c r="F346" s="756" t="s">
        <v>238</v>
      </c>
      <c r="G346" s="756" t="s">
        <v>238</v>
      </c>
      <c r="H346" s="758" t="s">
        <v>238</v>
      </c>
      <c r="I346" s="758" t="s">
        <v>238</v>
      </c>
    </row>
    <row r="347" spans="3:9" hidden="1" outlineLevel="1" x14ac:dyDescent="0.25">
      <c r="C347" s="768" t="s">
        <v>865</v>
      </c>
      <c r="D347" s="768"/>
      <c r="E347" s="756" t="s">
        <v>238</v>
      </c>
      <c r="F347" s="756" t="s">
        <v>238</v>
      </c>
      <c r="G347" s="756" t="s">
        <v>238</v>
      </c>
      <c r="H347" s="758" t="s">
        <v>238</v>
      </c>
      <c r="I347" s="758" t="s">
        <v>238</v>
      </c>
    </row>
    <row r="348" spans="3:9" hidden="1" outlineLevel="1" x14ac:dyDescent="0.25">
      <c r="C348" s="768" t="s">
        <v>866</v>
      </c>
      <c r="D348" s="768"/>
      <c r="E348" s="756" t="s">
        <v>238</v>
      </c>
      <c r="F348" s="756" t="s">
        <v>238</v>
      </c>
      <c r="G348" s="756" t="s">
        <v>238</v>
      </c>
      <c r="H348" s="758" t="s">
        <v>238</v>
      </c>
      <c r="I348" s="758" t="s">
        <v>238</v>
      </c>
    </row>
    <row r="349" spans="3:9" hidden="1" outlineLevel="1" x14ac:dyDescent="0.25">
      <c r="C349" s="768" t="s">
        <v>867</v>
      </c>
      <c r="D349" s="768"/>
      <c r="E349" s="756" t="s">
        <v>238</v>
      </c>
      <c r="F349" s="756" t="s">
        <v>238</v>
      </c>
      <c r="G349" s="756" t="s">
        <v>238</v>
      </c>
      <c r="H349" s="758" t="s">
        <v>238</v>
      </c>
      <c r="I349" s="758" t="s">
        <v>238</v>
      </c>
    </row>
    <row r="350" spans="3:9" hidden="1" outlineLevel="1" x14ac:dyDescent="0.25">
      <c r="C350" s="768" t="s">
        <v>868</v>
      </c>
      <c r="D350" s="768"/>
      <c r="E350" s="756" t="s">
        <v>238</v>
      </c>
      <c r="F350" s="756" t="s">
        <v>238</v>
      </c>
      <c r="G350" s="756" t="s">
        <v>238</v>
      </c>
      <c r="H350" s="758" t="s">
        <v>238</v>
      </c>
      <c r="I350" s="758" t="s">
        <v>238</v>
      </c>
    </row>
    <row r="351" spans="3:9" hidden="1" outlineLevel="1" x14ac:dyDescent="0.25">
      <c r="C351" s="768" t="s">
        <v>1000</v>
      </c>
      <c r="D351" s="768"/>
      <c r="E351" s="756" t="s">
        <v>238</v>
      </c>
      <c r="F351" s="756" t="s">
        <v>238</v>
      </c>
      <c r="G351" s="756" t="s">
        <v>238</v>
      </c>
      <c r="H351" s="758" t="s">
        <v>238</v>
      </c>
      <c r="I351" s="758" t="s">
        <v>238</v>
      </c>
    </row>
    <row r="352" spans="3:9" hidden="1" outlineLevel="1" x14ac:dyDescent="0.25">
      <c r="C352" s="768" t="s">
        <v>1001</v>
      </c>
      <c r="D352" s="768"/>
      <c r="E352" s="756" t="s">
        <v>238</v>
      </c>
      <c r="F352" s="756" t="s">
        <v>238</v>
      </c>
      <c r="G352" s="756" t="s">
        <v>238</v>
      </c>
      <c r="H352" s="758" t="s">
        <v>238</v>
      </c>
      <c r="I352" s="758" t="s">
        <v>238</v>
      </c>
    </row>
    <row r="353" spans="3:9" hidden="1" outlineLevel="1" x14ac:dyDescent="0.25">
      <c r="C353" s="768" t="s">
        <v>1002</v>
      </c>
      <c r="D353" s="768"/>
      <c r="E353" s="756" t="s">
        <v>238</v>
      </c>
      <c r="F353" s="756" t="s">
        <v>238</v>
      </c>
      <c r="G353" s="756" t="s">
        <v>238</v>
      </c>
      <c r="H353" s="758" t="s">
        <v>238</v>
      </c>
      <c r="I353" s="758" t="s">
        <v>238</v>
      </c>
    </row>
    <row r="354" spans="3:9" hidden="1" outlineLevel="1" x14ac:dyDescent="0.25">
      <c r="C354" s="768" t="s">
        <v>1003</v>
      </c>
      <c r="D354" s="768"/>
      <c r="E354" s="756" t="s">
        <v>238</v>
      </c>
      <c r="F354" s="756" t="s">
        <v>238</v>
      </c>
      <c r="G354" s="756" t="s">
        <v>238</v>
      </c>
      <c r="H354" s="758" t="s">
        <v>238</v>
      </c>
      <c r="I354" s="758" t="s">
        <v>238</v>
      </c>
    </row>
    <row r="355" spans="3:9" hidden="1" outlineLevel="1" x14ac:dyDescent="0.25">
      <c r="C355" s="768" t="s">
        <v>1004</v>
      </c>
      <c r="D355" s="768"/>
      <c r="E355" s="756" t="s">
        <v>238</v>
      </c>
      <c r="F355" s="756" t="s">
        <v>238</v>
      </c>
      <c r="G355" s="756" t="s">
        <v>238</v>
      </c>
      <c r="H355" s="758" t="s">
        <v>238</v>
      </c>
      <c r="I355" s="758" t="s">
        <v>238</v>
      </c>
    </row>
    <row r="356" spans="3:9" hidden="1" outlineLevel="1" x14ac:dyDescent="0.25">
      <c r="C356" s="768" t="s">
        <v>994</v>
      </c>
      <c r="D356" s="768"/>
      <c r="E356" s="756" t="s">
        <v>238</v>
      </c>
      <c r="F356" s="756" t="s">
        <v>238</v>
      </c>
      <c r="G356" s="756" t="s">
        <v>238</v>
      </c>
      <c r="H356" s="758" t="s">
        <v>238</v>
      </c>
      <c r="I356" s="758" t="s">
        <v>238</v>
      </c>
    </row>
    <row r="357" spans="3:9" hidden="1" outlineLevel="1" x14ac:dyDescent="0.25">
      <c r="C357" s="768" t="s">
        <v>994</v>
      </c>
      <c r="D357" s="768"/>
      <c r="E357" s="756" t="s">
        <v>238</v>
      </c>
      <c r="F357" s="756" t="s">
        <v>238</v>
      </c>
      <c r="G357" s="756" t="s">
        <v>238</v>
      </c>
      <c r="H357" s="758" t="s">
        <v>238</v>
      </c>
      <c r="I357" s="758" t="s">
        <v>238</v>
      </c>
    </row>
    <row r="358" spans="3:9" hidden="1" outlineLevel="1" x14ac:dyDescent="0.25">
      <c r="C358" s="768" t="s">
        <v>995</v>
      </c>
      <c r="D358" s="768"/>
      <c r="E358" s="756" t="s">
        <v>238</v>
      </c>
      <c r="F358" s="756" t="s">
        <v>238</v>
      </c>
      <c r="G358" s="756" t="s">
        <v>238</v>
      </c>
      <c r="H358" s="758" t="s">
        <v>238</v>
      </c>
      <c r="I358" s="758" t="s">
        <v>238</v>
      </c>
    </row>
    <row r="359" spans="3:9" hidden="1" outlineLevel="1" x14ac:dyDescent="0.25">
      <c r="C359" s="768" t="s">
        <v>996</v>
      </c>
      <c r="D359" s="768"/>
      <c r="E359" s="756" t="s">
        <v>238</v>
      </c>
      <c r="F359" s="756" t="s">
        <v>238</v>
      </c>
      <c r="G359" s="756" t="s">
        <v>238</v>
      </c>
      <c r="H359" s="758" t="s">
        <v>238</v>
      </c>
      <c r="I359" s="758" t="s">
        <v>238</v>
      </c>
    </row>
    <row r="360" spans="3:9" hidden="1" outlineLevel="1" x14ac:dyDescent="0.25">
      <c r="C360" s="768" t="s">
        <v>997</v>
      </c>
      <c r="D360" s="768"/>
      <c r="E360" s="756" t="s">
        <v>238</v>
      </c>
      <c r="F360" s="756" t="s">
        <v>238</v>
      </c>
      <c r="G360" s="756" t="s">
        <v>238</v>
      </c>
      <c r="H360" s="758" t="s">
        <v>238</v>
      </c>
      <c r="I360" s="758" t="s">
        <v>238</v>
      </c>
    </row>
    <row r="361" spans="3:9" hidden="1" outlineLevel="1" x14ac:dyDescent="0.25">
      <c r="C361" s="768" t="s">
        <v>998</v>
      </c>
      <c r="D361" s="768"/>
      <c r="E361" s="756" t="s">
        <v>238</v>
      </c>
      <c r="F361" s="756" t="s">
        <v>238</v>
      </c>
      <c r="G361" s="756" t="s">
        <v>238</v>
      </c>
      <c r="H361" s="758" t="s">
        <v>238</v>
      </c>
      <c r="I361" s="758" t="s">
        <v>238</v>
      </c>
    </row>
    <row r="362" spans="3:9" hidden="1" outlineLevel="1" x14ac:dyDescent="0.25">
      <c r="C362" s="768" t="s">
        <v>999</v>
      </c>
      <c r="D362" s="768"/>
      <c r="E362" s="756" t="s">
        <v>238</v>
      </c>
      <c r="F362" s="756" t="s">
        <v>238</v>
      </c>
      <c r="G362" s="756" t="s">
        <v>238</v>
      </c>
      <c r="H362" s="758" t="s">
        <v>238</v>
      </c>
      <c r="I362" s="758" t="s">
        <v>238</v>
      </c>
    </row>
    <row r="363" spans="3:9" hidden="1" outlineLevel="1" x14ac:dyDescent="0.25">
      <c r="C363" s="768" t="s">
        <v>839</v>
      </c>
      <c r="D363" s="768"/>
      <c r="E363" s="383">
        <f>E369-0.24</f>
        <v>1.76</v>
      </c>
      <c r="F363" s="383">
        <f>F369-0.24</f>
        <v>0.76</v>
      </c>
      <c r="G363" s="757">
        <f>G369-0.24</f>
        <v>113.52000000000001</v>
      </c>
      <c r="H363" s="759">
        <f>H369-0.24</f>
        <v>2.62</v>
      </c>
      <c r="I363" s="759">
        <f>I369-0.24</f>
        <v>1.9200000000000002</v>
      </c>
    </row>
    <row r="364" spans="3:9" hidden="1" outlineLevel="1" x14ac:dyDescent="0.25">
      <c r="C364" s="768" t="s">
        <v>840</v>
      </c>
      <c r="D364" s="768"/>
      <c r="E364" s="383">
        <f t="shared" ref="E364:E374" si="9">E370-0.24</f>
        <v>2.2299999999999995</v>
      </c>
      <c r="F364" s="383">
        <f>F370-0.08</f>
        <v>1.45</v>
      </c>
      <c r="G364" s="383">
        <f>G370-7</f>
        <v>150</v>
      </c>
      <c r="H364" s="221">
        <f>H370-0.2</f>
        <v>3.3999999999999995</v>
      </c>
      <c r="I364" s="221">
        <f>I370-0.3</f>
        <v>2.7</v>
      </c>
    </row>
    <row r="365" spans="3:9" hidden="1" outlineLevel="1" x14ac:dyDescent="0.25">
      <c r="C365" s="768" t="s">
        <v>841</v>
      </c>
      <c r="D365" s="768"/>
      <c r="E365" s="383">
        <f t="shared" si="9"/>
        <v>2.67</v>
      </c>
      <c r="F365" s="383">
        <f>F371-0.08</f>
        <v>1.7899999999999998</v>
      </c>
      <c r="G365" s="383">
        <f>G371-7</f>
        <v>199</v>
      </c>
      <c r="H365" s="221">
        <f>H371-0.2</f>
        <v>4.1999999999999993</v>
      </c>
      <c r="I365" s="221">
        <f>I371-0.3</f>
        <v>3.7</v>
      </c>
    </row>
    <row r="366" spans="3:9" hidden="1" outlineLevel="1" x14ac:dyDescent="0.25">
      <c r="C366" s="768" t="s">
        <v>842</v>
      </c>
      <c r="D366" s="768"/>
      <c r="E366" s="383">
        <f t="shared" si="9"/>
        <v>2.9399999999999995</v>
      </c>
      <c r="F366" s="383">
        <f>F372-0.08</f>
        <v>2.0099999999999998</v>
      </c>
      <c r="G366" s="383">
        <f>G372-7</f>
        <v>233</v>
      </c>
      <c r="H366" s="221">
        <f>H372-0.2</f>
        <v>4.8999999999999995</v>
      </c>
      <c r="I366" s="221">
        <f>I372-0.3</f>
        <v>4.6000000000000005</v>
      </c>
    </row>
    <row r="367" spans="3:9" hidden="1" outlineLevel="1" x14ac:dyDescent="0.25">
      <c r="C367" s="768" t="s">
        <v>843</v>
      </c>
      <c r="D367" s="768"/>
      <c r="E367" s="383">
        <f t="shared" si="9"/>
        <v>3.1399999999999997</v>
      </c>
      <c r="F367" s="383">
        <f>F373-0.08</f>
        <v>2.17</v>
      </c>
      <c r="G367" s="383">
        <f>G373-7</f>
        <v>254</v>
      </c>
      <c r="H367" s="221">
        <f>H373-0.2</f>
        <v>5.6999999999999993</v>
      </c>
      <c r="I367" s="221">
        <f>I373-0.3</f>
        <v>5.6000000000000005</v>
      </c>
    </row>
    <row r="368" spans="3:9" hidden="1" outlineLevel="1" x14ac:dyDescent="0.25">
      <c r="C368" s="768" t="s">
        <v>844</v>
      </c>
      <c r="D368" s="768"/>
      <c r="E368" s="383">
        <f t="shared" si="9"/>
        <v>3.4299999999999997</v>
      </c>
      <c r="F368" s="383">
        <f>F374-0.08</f>
        <v>2.4</v>
      </c>
      <c r="G368" s="383">
        <f>G374-7</f>
        <v>281</v>
      </c>
      <c r="H368" s="221">
        <f>H374-0.2</f>
        <v>6.3999999999999995</v>
      </c>
      <c r="I368" s="221">
        <f>I374-0.3</f>
        <v>6.5</v>
      </c>
    </row>
    <row r="369" spans="3:9" hidden="1" outlineLevel="1" x14ac:dyDescent="0.25">
      <c r="C369" s="768" t="s">
        <v>845</v>
      </c>
      <c r="D369" s="768"/>
      <c r="E369" s="196">
        <f t="shared" si="9"/>
        <v>2</v>
      </c>
      <c r="F369" s="196">
        <f>F375-0.24</f>
        <v>1</v>
      </c>
      <c r="G369" s="757">
        <f>G375-0.24</f>
        <v>113.76</v>
      </c>
      <c r="H369" s="759">
        <f>H375-0.24</f>
        <v>2.8600000000000003</v>
      </c>
      <c r="I369" s="759">
        <f>I375-0.24</f>
        <v>2.16</v>
      </c>
    </row>
    <row r="370" spans="3:9" hidden="1" outlineLevel="1" x14ac:dyDescent="0.25">
      <c r="C370" s="768" t="s">
        <v>846</v>
      </c>
      <c r="D370" s="768"/>
      <c r="E370" s="383">
        <f t="shared" si="9"/>
        <v>2.4699999999999998</v>
      </c>
      <c r="F370" s="383">
        <f>F376-0.08</f>
        <v>1.53</v>
      </c>
      <c r="G370" s="383">
        <f>G376-7</f>
        <v>157</v>
      </c>
      <c r="H370" s="759">
        <f>H376-0.2</f>
        <v>3.5999999999999996</v>
      </c>
      <c r="I370" s="759">
        <f>I376-0.3</f>
        <v>3</v>
      </c>
    </row>
    <row r="371" spans="3:9" hidden="1" outlineLevel="1" x14ac:dyDescent="0.25">
      <c r="C371" s="768" t="s">
        <v>847</v>
      </c>
      <c r="D371" s="768"/>
      <c r="E371" s="383">
        <f t="shared" si="9"/>
        <v>2.91</v>
      </c>
      <c r="F371" s="383">
        <f>F377-0.08</f>
        <v>1.8699999999999999</v>
      </c>
      <c r="G371" s="383">
        <f>G377-7</f>
        <v>206</v>
      </c>
      <c r="H371" s="759">
        <f>H377-0.2</f>
        <v>4.3999999999999995</v>
      </c>
      <c r="I371" s="759">
        <f>I377-0.3</f>
        <v>4</v>
      </c>
    </row>
    <row r="372" spans="3:9" hidden="1" outlineLevel="1" x14ac:dyDescent="0.25">
      <c r="C372" s="768" t="s">
        <v>848</v>
      </c>
      <c r="D372" s="768"/>
      <c r="E372" s="383">
        <f t="shared" si="9"/>
        <v>3.1799999999999997</v>
      </c>
      <c r="F372" s="383">
        <f>F378-0.08</f>
        <v>2.09</v>
      </c>
      <c r="G372" s="383">
        <f>G378-7</f>
        <v>240</v>
      </c>
      <c r="H372" s="221">
        <f>H378-0.2</f>
        <v>5.0999999999999996</v>
      </c>
      <c r="I372" s="221">
        <f>I378-0.3</f>
        <v>4.9000000000000004</v>
      </c>
    </row>
    <row r="373" spans="3:9" hidden="1" outlineLevel="1" x14ac:dyDescent="0.25">
      <c r="C373" s="768" t="s">
        <v>849</v>
      </c>
      <c r="D373" s="768"/>
      <c r="E373" s="383">
        <f t="shared" si="9"/>
        <v>3.38</v>
      </c>
      <c r="F373" s="383">
        <f>F379-0.08</f>
        <v>2.25</v>
      </c>
      <c r="G373" s="383">
        <f>G379-7</f>
        <v>261</v>
      </c>
      <c r="H373" s="221">
        <f>H379-0.2</f>
        <v>5.8999999999999995</v>
      </c>
      <c r="I373" s="221">
        <f>I379-0.3</f>
        <v>5.9</v>
      </c>
    </row>
    <row r="374" spans="3:9" hidden="1" outlineLevel="1" x14ac:dyDescent="0.25">
      <c r="C374" s="768" t="s">
        <v>850</v>
      </c>
      <c r="D374" s="768"/>
      <c r="E374" s="383">
        <f t="shared" si="9"/>
        <v>3.67</v>
      </c>
      <c r="F374" s="383">
        <f>F380-0.08</f>
        <v>2.48</v>
      </c>
      <c r="G374" s="383">
        <f>G380-7</f>
        <v>288</v>
      </c>
      <c r="H374" s="221">
        <f>H380-0.2</f>
        <v>6.6</v>
      </c>
      <c r="I374" s="221">
        <f>I380-0.3</f>
        <v>6.8</v>
      </c>
    </row>
    <row r="375" spans="3:9" hidden="1" outlineLevel="1" x14ac:dyDescent="0.25">
      <c r="C375" s="768" t="s">
        <v>833</v>
      </c>
      <c r="D375" s="768"/>
      <c r="E375" s="383">
        <v>2.2400000000000002</v>
      </c>
      <c r="F375" s="383">
        <v>1.24</v>
      </c>
      <c r="G375" s="383">
        <v>114</v>
      </c>
      <c r="H375" s="221">
        <v>3.1</v>
      </c>
      <c r="I375" s="221">
        <v>2.4</v>
      </c>
    </row>
    <row r="376" spans="3:9" hidden="1" outlineLevel="1" x14ac:dyDescent="0.25">
      <c r="C376" s="768" t="s">
        <v>834</v>
      </c>
      <c r="D376" s="768"/>
      <c r="E376" s="383">
        <v>2.71</v>
      </c>
      <c r="F376" s="383">
        <v>1.61</v>
      </c>
      <c r="G376" s="383">
        <v>164</v>
      </c>
      <c r="H376" s="221">
        <v>3.8</v>
      </c>
      <c r="I376" s="221">
        <v>3.3</v>
      </c>
    </row>
    <row r="377" spans="3:9" hidden="1" outlineLevel="1" x14ac:dyDescent="0.25">
      <c r="C377" s="768" t="s">
        <v>835</v>
      </c>
      <c r="D377" s="768"/>
      <c r="E377" s="383">
        <v>3.15</v>
      </c>
      <c r="F377" s="383">
        <v>1.95</v>
      </c>
      <c r="G377" s="383">
        <v>213</v>
      </c>
      <c r="H377" s="221">
        <v>4.5999999999999996</v>
      </c>
      <c r="I377" s="221">
        <v>4.3</v>
      </c>
    </row>
    <row r="378" spans="3:9" hidden="1" outlineLevel="1" x14ac:dyDescent="0.25">
      <c r="C378" s="768" t="s">
        <v>836</v>
      </c>
      <c r="D378" s="768"/>
      <c r="E378" s="383">
        <v>3.42</v>
      </c>
      <c r="F378" s="383">
        <v>2.17</v>
      </c>
      <c r="G378" s="383">
        <v>247</v>
      </c>
      <c r="H378" s="221">
        <v>5.3</v>
      </c>
      <c r="I378" s="221">
        <v>5.2</v>
      </c>
    </row>
    <row r="379" spans="3:9" hidden="1" outlineLevel="1" x14ac:dyDescent="0.25">
      <c r="C379" s="768" t="s">
        <v>837</v>
      </c>
      <c r="D379" s="768"/>
      <c r="E379" s="383">
        <v>3.62</v>
      </c>
      <c r="F379" s="383">
        <v>2.33</v>
      </c>
      <c r="G379" s="383">
        <v>268</v>
      </c>
      <c r="H379" s="221">
        <v>6.1</v>
      </c>
      <c r="I379" s="221">
        <v>6.2</v>
      </c>
    </row>
    <row r="380" spans="3:9" hidden="1" outlineLevel="1" x14ac:dyDescent="0.25">
      <c r="C380" s="768" t="s">
        <v>838</v>
      </c>
      <c r="D380" s="768"/>
      <c r="E380" s="383">
        <v>3.91</v>
      </c>
      <c r="F380" s="383">
        <v>2.56</v>
      </c>
      <c r="G380" s="383">
        <v>295</v>
      </c>
      <c r="H380" s="221">
        <v>6.8</v>
      </c>
      <c r="I380" s="221">
        <v>7.1</v>
      </c>
    </row>
    <row r="381" spans="3:9" hidden="1" outlineLevel="1" x14ac:dyDescent="0.25">
      <c r="C381" s="768" t="s">
        <v>851</v>
      </c>
      <c r="D381" s="768"/>
      <c r="E381" s="383">
        <f t="shared" ref="E381:E386" si="10">E375+0.24</f>
        <v>2.4800000000000004</v>
      </c>
      <c r="F381" s="383">
        <f t="shared" ref="F381:F386" si="11">F375+0.08</f>
        <v>1.32</v>
      </c>
      <c r="G381" s="383">
        <f t="shared" ref="G381:G386" si="12">G375+7</f>
        <v>121</v>
      </c>
      <c r="H381" s="221">
        <f t="shared" ref="H381:H386" si="13">H375+0.2</f>
        <v>3.3000000000000003</v>
      </c>
      <c r="I381" s="221">
        <f t="shared" ref="I381:I386" si="14">I375+0.3</f>
        <v>2.6999999999999997</v>
      </c>
    </row>
    <row r="382" spans="3:9" hidden="1" outlineLevel="1" x14ac:dyDescent="0.25">
      <c r="C382" s="768" t="s">
        <v>852</v>
      </c>
      <c r="D382" s="768"/>
      <c r="E382" s="383">
        <f t="shared" si="10"/>
        <v>2.95</v>
      </c>
      <c r="F382" s="383">
        <f t="shared" si="11"/>
        <v>1.6900000000000002</v>
      </c>
      <c r="G382" s="383">
        <f t="shared" si="12"/>
        <v>171</v>
      </c>
      <c r="H382" s="759">
        <f t="shared" si="13"/>
        <v>4</v>
      </c>
      <c r="I382" s="759">
        <f t="shared" si="14"/>
        <v>3.5999999999999996</v>
      </c>
    </row>
    <row r="383" spans="3:9" hidden="1" outlineLevel="1" x14ac:dyDescent="0.25">
      <c r="C383" s="768" t="s">
        <v>853</v>
      </c>
      <c r="D383" s="768"/>
      <c r="E383" s="383">
        <f t="shared" si="10"/>
        <v>3.3899999999999997</v>
      </c>
      <c r="F383" s="383">
        <f t="shared" si="11"/>
        <v>2.0299999999999998</v>
      </c>
      <c r="G383" s="383">
        <f t="shared" si="12"/>
        <v>220</v>
      </c>
      <c r="H383" s="221">
        <f t="shared" si="13"/>
        <v>4.8</v>
      </c>
      <c r="I383" s="221">
        <f t="shared" si="14"/>
        <v>4.5999999999999996</v>
      </c>
    </row>
    <row r="384" spans="3:9" hidden="1" outlineLevel="1" x14ac:dyDescent="0.25">
      <c r="C384" s="768" t="s">
        <v>854</v>
      </c>
      <c r="D384" s="768"/>
      <c r="E384" s="383">
        <f t="shared" si="10"/>
        <v>3.66</v>
      </c>
      <c r="F384" s="383">
        <f t="shared" si="11"/>
        <v>2.25</v>
      </c>
      <c r="G384" s="383">
        <f t="shared" si="12"/>
        <v>254</v>
      </c>
      <c r="H384" s="221">
        <f t="shared" si="13"/>
        <v>5.5</v>
      </c>
      <c r="I384" s="221">
        <f t="shared" si="14"/>
        <v>5.5</v>
      </c>
    </row>
    <row r="385" spans="3:9" hidden="1" outlineLevel="1" x14ac:dyDescent="0.25">
      <c r="C385" s="768" t="s">
        <v>855</v>
      </c>
      <c r="D385" s="768"/>
      <c r="E385" s="383">
        <f t="shared" si="10"/>
        <v>3.8600000000000003</v>
      </c>
      <c r="F385" s="383">
        <f t="shared" si="11"/>
        <v>2.41</v>
      </c>
      <c r="G385" s="383">
        <f t="shared" si="12"/>
        <v>275</v>
      </c>
      <c r="H385" s="221">
        <f t="shared" si="13"/>
        <v>6.3</v>
      </c>
      <c r="I385" s="221">
        <f t="shared" si="14"/>
        <v>6.5</v>
      </c>
    </row>
    <row r="386" spans="3:9" hidden="1" outlineLevel="1" x14ac:dyDescent="0.25">
      <c r="C386" s="768" t="s">
        <v>856</v>
      </c>
      <c r="D386" s="768"/>
      <c r="E386" s="383">
        <f t="shared" si="10"/>
        <v>4.1500000000000004</v>
      </c>
      <c r="F386" s="383">
        <f t="shared" si="11"/>
        <v>2.64</v>
      </c>
      <c r="G386" s="383">
        <f t="shared" si="12"/>
        <v>302</v>
      </c>
      <c r="H386" s="759">
        <f t="shared" si="13"/>
        <v>7</v>
      </c>
      <c r="I386" s="221">
        <f t="shared" si="14"/>
        <v>7.3999999999999995</v>
      </c>
    </row>
    <row r="387" spans="3:9" hidden="1" outlineLevel="1" x14ac:dyDescent="0.25">
      <c r="C387" s="768" t="s">
        <v>857</v>
      </c>
      <c r="D387" s="768"/>
      <c r="E387" s="756" t="s">
        <v>238</v>
      </c>
      <c r="F387" s="756" t="s">
        <v>238</v>
      </c>
      <c r="G387" s="756" t="s">
        <v>238</v>
      </c>
      <c r="H387" s="758" t="s">
        <v>238</v>
      </c>
      <c r="I387" s="758" t="s">
        <v>238</v>
      </c>
    </row>
    <row r="388" spans="3:9" hidden="1" outlineLevel="1" x14ac:dyDescent="0.25">
      <c r="C388" s="768" t="s">
        <v>858</v>
      </c>
      <c r="D388" s="768"/>
      <c r="E388" s="756" t="s">
        <v>238</v>
      </c>
      <c r="F388" s="756" t="s">
        <v>238</v>
      </c>
      <c r="G388" s="756" t="s">
        <v>238</v>
      </c>
      <c r="H388" s="758" t="s">
        <v>238</v>
      </c>
      <c r="I388" s="758" t="s">
        <v>238</v>
      </c>
    </row>
    <row r="389" spans="3:9" hidden="1" outlineLevel="1" x14ac:dyDescent="0.25">
      <c r="C389" s="768" t="s">
        <v>859</v>
      </c>
      <c r="D389" s="768"/>
      <c r="E389" s="756" t="s">
        <v>238</v>
      </c>
      <c r="F389" s="756" t="s">
        <v>238</v>
      </c>
      <c r="G389" s="756" t="s">
        <v>238</v>
      </c>
      <c r="H389" s="758" t="s">
        <v>238</v>
      </c>
      <c r="I389" s="758" t="s">
        <v>238</v>
      </c>
    </row>
    <row r="390" spans="3:9" hidden="1" outlineLevel="1" x14ac:dyDescent="0.25">
      <c r="C390" s="768" t="s">
        <v>860</v>
      </c>
      <c r="D390" s="768"/>
      <c r="E390" s="756" t="s">
        <v>238</v>
      </c>
      <c r="F390" s="756" t="s">
        <v>238</v>
      </c>
      <c r="G390" s="756" t="s">
        <v>238</v>
      </c>
      <c r="H390" s="758" t="s">
        <v>238</v>
      </c>
      <c r="I390" s="758" t="s">
        <v>238</v>
      </c>
    </row>
    <row r="391" spans="3:9" hidden="1" outlineLevel="1" x14ac:dyDescent="0.25">
      <c r="C391" s="768" t="s">
        <v>861</v>
      </c>
      <c r="D391" s="768"/>
      <c r="E391" s="756" t="s">
        <v>238</v>
      </c>
      <c r="F391" s="756" t="s">
        <v>238</v>
      </c>
      <c r="G391" s="756" t="s">
        <v>238</v>
      </c>
      <c r="H391" s="758" t="s">
        <v>238</v>
      </c>
      <c r="I391" s="758" t="s">
        <v>238</v>
      </c>
    </row>
    <row r="392" spans="3:9" hidden="1" outlineLevel="1" x14ac:dyDescent="0.25">
      <c r="C392" s="768" t="s">
        <v>862</v>
      </c>
      <c r="D392" s="768"/>
      <c r="E392" s="756" t="s">
        <v>238</v>
      </c>
      <c r="F392" s="756" t="s">
        <v>238</v>
      </c>
      <c r="G392" s="756" t="s">
        <v>238</v>
      </c>
      <c r="H392" s="758" t="s">
        <v>238</v>
      </c>
      <c r="I392" s="758" t="s">
        <v>238</v>
      </c>
    </row>
    <row r="393" spans="3:9" hidden="1" outlineLevel="1" x14ac:dyDescent="0.25"/>
    <row r="394" spans="3:9" hidden="1" outlineLevel="1" x14ac:dyDescent="0.25"/>
    <row r="395" spans="3:9" hidden="1" outlineLevel="1" x14ac:dyDescent="0.25"/>
    <row r="396" spans="3:9" collapsed="1" x14ac:dyDescent="0.25"/>
  </sheetData>
  <protectedRanges>
    <protectedRange sqref="C8:C16" name="Plage1"/>
  </protectedRanges>
  <sortState ref="C39:I392">
    <sortCondition ref="C39:C392"/>
  </sortState>
  <mergeCells count="14">
    <mergeCell ref="E17:F17"/>
    <mergeCell ref="L15:L16"/>
    <mergeCell ref="F4:O4"/>
    <mergeCell ref="B2:O2"/>
    <mergeCell ref="B1:O1"/>
    <mergeCell ref="L6:O7"/>
    <mergeCell ref="M8:N8"/>
    <mergeCell ref="L11:L12"/>
    <mergeCell ref="E10:I10"/>
    <mergeCell ref="E8:I9"/>
    <mergeCell ref="E14:I14"/>
    <mergeCell ref="E11:I12"/>
    <mergeCell ref="C6:H7"/>
    <mergeCell ref="L13:L14"/>
  </mergeCells>
  <dataValidations count="5">
    <dataValidation type="list" allowBlank="1" showInputMessage="1" showErrorMessage="1" sqref="C8">
      <formula1>$C$24:$C$27</formula1>
    </dataValidation>
    <dataValidation type="list" allowBlank="1" showInputMessage="1" showErrorMessage="1" sqref="C16">
      <formula1>$E$24:$E$26</formula1>
    </dataValidation>
    <dataValidation type="list" allowBlank="1" showInputMessage="1" showErrorMessage="1" sqref="C14">
      <formula1>$F$24:$F$26</formula1>
    </dataValidation>
    <dataValidation type="list" allowBlank="1" showInputMessage="1" showErrorMessage="1" sqref="C12">
      <formula1>$D$24:$D$29</formula1>
    </dataValidation>
    <dataValidation allowBlank="1" showInputMessage="1" showErrorMessage="1" sqref="I348"/>
  </dataValidations>
  <pageMargins left="0.7" right="0.7" top="0.75" bottom="0.75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Spinner 2">
              <controlPr defaultSize="0" autoPict="0">
                <anchor moveWithCells="1" sizeWithCells="1">
                  <from>
                    <xdr:col>1</xdr:col>
                    <xdr:colOff>904875</xdr:colOff>
                    <xdr:row>8</xdr:row>
                    <xdr:rowOff>180975</xdr:rowOff>
                  </from>
                  <to>
                    <xdr:col>2</xdr:col>
                    <xdr:colOff>333375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5" name="Option Button 4">
              <controlPr locked="0" defaultSize="0" autoFill="0" autoLine="0" autoPict="0">
                <anchor moveWithCells="1">
                  <from>
                    <xdr:col>5</xdr:col>
                    <xdr:colOff>523875</xdr:colOff>
                    <xdr:row>4</xdr:row>
                    <xdr:rowOff>104775</xdr:rowOff>
                  </from>
                  <to>
                    <xdr:col>6</xdr:col>
                    <xdr:colOff>57150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6" name="Option Button 5">
              <controlPr defaultSize="0" autoFill="0" autoLine="0" autoPict="0">
                <anchor moveWithCells="1">
                  <from>
                    <xdr:col>2</xdr:col>
                    <xdr:colOff>190500</xdr:colOff>
                    <xdr:row>4</xdr:row>
                    <xdr:rowOff>123825</xdr:rowOff>
                  </from>
                  <to>
                    <xdr:col>2</xdr:col>
                    <xdr:colOff>485775</xdr:colOff>
                    <xdr:row>4</xdr:row>
                    <xdr:rowOff>352425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>
    <pageSetUpPr fitToPage="1"/>
  </sheetPr>
  <dimension ref="A1:Z438"/>
  <sheetViews>
    <sheetView showGridLines="0" showRowColHeaders="0" topLeftCell="A16" zoomScaleNormal="100" workbookViewId="0"/>
  </sheetViews>
  <sheetFormatPr defaultColWidth="11.42578125" defaultRowHeight="15" outlineLevelRow="1" x14ac:dyDescent="0.25"/>
  <cols>
    <col min="1" max="1" width="3.5703125" customWidth="1"/>
    <col min="2" max="2" width="13.7109375" customWidth="1"/>
    <col min="3" max="3" width="32.85546875" customWidth="1"/>
    <col min="4" max="4" width="4" customWidth="1"/>
    <col min="5" max="5" width="9.7109375" customWidth="1"/>
    <col min="6" max="6" width="9.7109375" style="122" customWidth="1"/>
    <col min="7" max="9" width="9.7109375" customWidth="1"/>
    <col min="10" max="10" width="6.7109375" customWidth="1"/>
    <col min="11" max="11" width="3.7109375" style="72" customWidth="1"/>
    <col min="12" max="12" width="9.7109375" customWidth="1"/>
    <col min="13" max="13" width="4.42578125" customWidth="1"/>
    <col min="14" max="14" width="3" customWidth="1"/>
    <col min="15" max="15" width="8.7109375" customWidth="1"/>
    <col min="16" max="16" width="7.42578125" customWidth="1"/>
    <col min="17" max="17" width="10" customWidth="1"/>
    <col min="19" max="19" width="3.28515625" customWidth="1"/>
    <col min="21" max="21" width="13.42578125" customWidth="1"/>
  </cols>
  <sheetData>
    <row r="1" spans="1:26" s="3" customFormat="1" ht="57.75" customHeight="1" thickBot="1" x14ac:dyDescent="0.3">
      <c r="A1" s="10"/>
      <c r="B1" s="1080" t="s">
        <v>1275</v>
      </c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  <c r="Q1" s="1080"/>
      <c r="R1" s="1080"/>
      <c r="S1" s="497"/>
    </row>
    <row r="2" spans="1:26" s="3" customFormat="1" ht="27" customHeight="1" thickBot="1" x14ac:dyDescent="0.3">
      <c r="A2" s="10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8"/>
      <c r="S2" s="497"/>
    </row>
    <row r="3" spans="1:26" s="216" customFormat="1" ht="12" customHeight="1" x14ac:dyDescent="0.25">
      <c r="A3" s="126"/>
      <c r="B3" s="263"/>
      <c r="C3" s="263"/>
      <c r="D3" s="263"/>
      <c r="E3" s="263"/>
      <c r="F3" s="263"/>
      <c r="G3" s="263"/>
      <c r="H3" s="518"/>
      <c r="I3" s="518"/>
      <c r="J3" s="518"/>
      <c r="K3" s="518"/>
      <c r="L3" s="518"/>
      <c r="M3" s="507"/>
      <c r="N3" s="264"/>
      <c r="O3" s="497"/>
      <c r="P3" s="497"/>
      <c r="Q3" s="497"/>
      <c r="R3" s="497"/>
      <c r="S3" s="497"/>
    </row>
    <row r="4" spans="1:26" s="3" customFormat="1" ht="26.25" customHeight="1" x14ac:dyDescent="0.25">
      <c r="A4" s="36"/>
      <c r="B4" s="31"/>
      <c r="C4" s="30"/>
      <c r="D4" s="30"/>
      <c r="E4" s="30"/>
      <c r="F4" s="30"/>
      <c r="G4" s="30"/>
      <c r="H4" s="1086" t="s">
        <v>759</v>
      </c>
      <c r="I4" s="1086"/>
      <c r="J4" s="1086"/>
      <c r="K4" s="1086"/>
      <c r="L4" s="1086"/>
      <c r="M4" s="1086"/>
      <c r="N4" s="1086"/>
      <c r="O4" s="1086"/>
      <c r="P4" s="1086"/>
      <c r="Q4" s="1086"/>
      <c r="R4" s="1087"/>
      <c r="S4" s="497"/>
    </row>
    <row r="5" spans="1:26" ht="52.5" customHeight="1" x14ac:dyDescent="0.25">
      <c r="A5" s="10"/>
      <c r="B5" s="1157" t="s">
        <v>1271</v>
      </c>
      <c r="C5" s="1157"/>
      <c r="D5" s="1157"/>
      <c r="E5" s="1157"/>
      <c r="F5" s="1157"/>
      <c r="G5" s="1157"/>
      <c r="H5" s="1158"/>
      <c r="I5" s="1158"/>
      <c r="J5" s="1158"/>
      <c r="K5" s="1158"/>
      <c r="L5" s="1158"/>
      <c r="M5" s="1158"/>
      <c r="N5" s="10"/>
      <c r="O5" s="497"/>
      <c r="P5" s="16"/>
      <c r="Q5" s="497"/>
      <c r="R5" s="497"/>
      <c r="S5" s="497"/>
    </row>
    <row r="6" spans="1:26" s="305" customFormat="1" ht="9" customHeight="1" x14ac:dyDescent="0.25">
      <c r="A6" s="306"/>
      <c r="B6" s="1168"/>
      <c r="C6" s="1169"/>
      <c r="D6" s="1169"/>
      <c r="E6" s="1166" t="s">
        <v>983</v>
      </c>
      <c r="F6" s="1166"/>
      <c r="G6" s="1166"/>
      <c r="H6" s="1166"/>
      <c r="I6" s="1166"/>
      <c r="J6" s="1166"/>
      <c r="K6" s="1170" t="s">
        <v>981</v>
      </c>
      <c r="L6" s="1170"/>
      <c r="M6" s="1171"/>
      <c r="N6" s="317"/>
      <c r="O6" s="336"/>
      <c r="P6" s="861"/>
      <c r="Q6" s="330"/>
      <c r="R6" s="498"/>
      <c r="S6" s="497"/>
      <c r="T6" s="838"/>
      <c r="U6" s="838"/>
      <c r="V6" s="838"/>
      <c r="W6" s="838"/>
      <c r="X6" s="838"/>
      <c r="Y6" s="838"/>
    </row>
    <row r="7" spans="1:26" s="308" customFormat="1" ht="16.5" customHeight="1" x14ac:dyDescent="0.25">
      <c r="A7" s="311"/>
      <c r="B7" s="318"/>
      <c r="C7" s="798"/>
      <c r="D7" s="320"/>
      <c r="E7" s="1167"/>
      <c r="F7" s="1167"/>
      <c r="G7" s="1167"/>
      <c r="H7" s="1167"/>
      <c r="I7" s="1167"/>
      <c r="J7" s="1167"/>
      <c r="K7" s="1144"/>
      <c r="L7" s="1144"/>
      <c r="M7" s="1145"/>
      <c r="N7" s="317"/>
      <c r="O7" s="1163" t="str">
        <f>IF(ANIMAL!C8="","",IF(O11&gt;1,"ATTENTION ! La capacité d'ingestion est dépassée",IF(C9="","",IF(V7&lt;0.02,"La capacité d'ingestion est atteinte","La capacité d'ingestion n'est pas atteinte"))))</f>
        <v>ATTENTION ! La capacité d'ingestion est dépassée</v>
      </c>
      <c r="P7" s="1164"/>
      <c r="Q7" s="1164"/>
      <c r="R7" s="1165"/>
      <c r="S7" s="497"/>
      <c r="T7" s="833"/>
      <c r="U7" s="953">
        <f>ANIMAL!E16</f>
        <v>1.71</v>
      </c>
      <c r="V7" s="834">
        <f>IF(O11&gt;1,0,1-V9-V8)</f>
        <v>0</v>
      </c>
      <c r="W7" s="833"/>
      <c r="X7" s="838"/>
      <c r="Y7" s="838"/>
    </row>
    <row r="8" spans="1:26" s="305" customFormat="1" ht="30" customHeight="1" x14ac:dyDescent="0.4">
      <c r="A8" s="306"/>
      <c r="B8" s="1150" t="s">
        <v>1149</v>
      </c>
      <c r="C8" s="1151"/>
      <c r="D8" s="1151"/>
      <c r="E8" s="1167"/>
      <c r="F8" s="1167"/>
      <c r="G8" s="1167"/>
      <c r="H8" s="1167"/>
      <c r="I8" s="1167"/>
      <c r="J8" s="1167"/>
      <c r="K8" s="1144"/>
      <c r="L8" s="1144"/>
      <c r="M8" s="1145"/>
      <c r="N8" s="317"/>
      <c r="O8" s="1163"/>
      <c r="P8" s="1164"/>
      <c r="Q8" s="1164"/>
      <c r="R8" s="1165"/>
      <c r="S8" s="497"/>
      <c r="T8" s="833"/>
      <c r="U8" s="841">
        <f>IF(C23="",0,L24*(E29/100)*F29)</f>
        <v>0</v>
      </c>
      <c r="V8" s="834">
        <f>IF(O11&gt;1,0,U8/U7)</f>
        <v>0</v>
      </c>
      <c r="W8" s="833"/>
      <c r="X8" s="838"/>
      <c r="Y8" s="838"/>
    </row>
    <row r="9" spans="1:26" s="305" customFormat="1" ht="29.25" customHeight="1" thickBot="1" x14ac:dyDescent="0.3">
      <c r="A9" s="306"/>
      <c r="B9" s="312" t="s">
        <v>37</v>
      </c>
      <c r="C9" s="339"/>
      <c r="D9" s="309"/>
      <c r="E9" s="1118" t="str">
        <f>CONCATENATE(C9,"    ",C11,"    ",C13,"  ",C15)</f>
        <v xml:space="preserve">          </v>
      </c>
      <c r="F9" s="1118"/>
      <c r="G9" s="1118"/>
      <c r="H9" s="1118"/>
      <c r="I9" s="1118"/>
      <c r="J9" s="1118"/>
      <c r="K9" s="709"/>
      <c r="L9" s="709"/>
      <c r="M9" s="709"/>
      <c r="N9" s="317"/>
      <c r="O9" s="1159" t="s">
        <v>1214</v>
      </c>
      <c r="P9" s="1160"/>
      <c r="Q9" s="874"/>
      <c r="R9" s="862"/>
      <c r="S9" s="497"/>
      <c r="T9" s="834">
        <f>U12/U7</f>
        <v>0</v>
      </c>
      <c r="U9" s="841">
        <f>IF(C9="",0,(L10*(E15/100)*F15))</f>
        <v>0</v>
      </c>
      <c r="V9" s="834">
        <f>IF(O11&gt;1,0,U9/U7)</f>
        <v>0</v>
      </c>
      <c r="W9" s="833"/>
      <c r="X9" s="838"/>
      <c r="Y9" s="838"/>
      <c r="Z9" s="838"/>
    </row>
    <row r="10" spans="1:26" s="305" customFormat="1" ht="21" customHeight="1" x14ac:dyDescent="0.25">
      <c r="A10" s="306"/>
      <c r="B10" s="312"/>
      <c r="C10" s="328"/>
      <c r="D10" s="309"/>
      <c r="E10" s="1118"/>
      <c r="F10" s="1118"/>
      <c r="G10" s="1118"/>
      <c r="H10" s="1118"/>
      <c r="I10" s="1118"/>
      <c r="J10" s="1118"/>
      <c r="K10" s="319"/>
      <c r="L10" s="1148"/>
      <c r="M10" s="313"/>
      <c r="N10" s="306"/>
      <c r="O10" s="1159"/>
      <c r="P10" s="1160"/>
      <c r="Q10" s="1153" t="str">
        <f>IF(O11="","",IF(O11&gt;1,"Réduisez les fourrages !",""))</f>
        <v/>
      </c>
      <c r="R10" s="1154"/>
      <c r="S10" s="497"/>
      <c r="T10" s="833"/>
      <c r="U10" s="833"/>
      <c r="V10" s="833"/>
      <c r="W10" s="833"/>
      <c r="X10" s="838"/>
      <c r="Y10" s="838"/>
      <c r="Z10" s="838"/>
    </row>
    <row r="11" spans="1:26" s="305" customFormat="1" ht="27.75" customHeight="1" thickBot="1" x14ac:dyDescent="0.3">
      <c r="A11" s="306"/>
      <c r="B11" s="312" t="s">
        <v>126</v>
      </c>
      <c r="C11" s="339"/>
      <c r="D11" s="309"/>
      <c r="E11" s="1118"/>
      <c r="F11" s="1118"/>
      <c r="G11" s="1118"/>
      <c r="H11" s="1118"/>
      <c r="I11" s="1118"/>
      <c r="J11" s="1118"/>
      <c r="K11" s="319"/>
      <c r="L11" s="1149"/>
      <c r="M11" s="313"/>
      <c r="N11" s="306"/>
      <c r="O11" s="1161" t="str">
        <f>IF(C9="","",T9)</f>
        <v/>
      </c>
      <c r="P11" s="1162"/>
      <c r="Q11" s="1153"/>
      <c r="R11" s="1154"/>
      <c r="S11" s="497"/>
      <c r="T11" s="833"/>
      <c r="U11" s="833"/>
      <c r="V11" s="833"/>
      <c r="W11" s="833"/>
      <c r="X11" s="838"/>
      <c r="Y11" s="838"/>
      <c r="Z11" s="838"/>
    </row>
    <row r="12" spans="1:26" s="305" customFormat="1" ht="21" customHeight="1" x14ac:dyDescent="0.25">
      <c r="A12" s="306"/>
      <c r="B12" s="312"/>
      <c r="C12" s="328"/>
      <c r="D12" s="309"/>
      <c r="E12" s="310"/>
      <c r="F12" s="310"/>
      <c r="G12" s="310"/>
      <c r="H12" s="310"/>
      <c r="I12" s="310"/>
      <c r="J12" s="310"/>
      <c r="K12" s="310"/>
      <c r="L12" s="310"/>
      <c r="M12" s="313"/>
      <c r="N12" s="306"/>
      <c r="O12" s="1155" t="str">
        <f>IF(C23="","",C23)</f>
        <v/>
      </c>
      <c r="P12" s="1156"/>
      <c r="Q12" s="1152" t="str">
        <f>IF(C23="","",2)</f>
        <v/>
      </c>
      <c r="R12" s="500"/>
      <c r="S12" s="497"/>
      <c r="T12" s="833"/>
      <c r="U12" s="841">
        <f>U9+U8</f>
        <v>0</v>
      </c>
      <c r="V12" s="834">
        <f>U12/U7</f>
        <v>0</v>
      </c>
      <c r="W12" s="833"/>
      <c r="X12" s="838"/>
      <c r="Y12" s="838"/>
      <c r="Z12" s="838"/>
    </row>
    <row r="13" spans="1:26" s="305" customFormat="1" ht="29.25" customHeight="1" x14ac:dyDescent="0.25">
      <c r="A13" s="306"/>
      <c r="B13" s="312" t="s">
        <v>32</v>
      </c>
      <c r="C13" s="340"/>
      <c r="D13" s="309"/>
      <c r="E13" s="1138" t="s">
        <v>985</v>
      </c>
      <c r="F13" s="1138"/>
      <c r="G13" s="1138"/>
      <c r="H13" s="1138"/>
      <c r="I13" s="1138"/>
      <c r="J13" s="1138"/>
      <c r="K13" s="1138"/>
      <c r="L13" s="1138"/>
      <c r="M13" s="313"/>
      <c r="N13" s="306"/>
      <c r="O13" s="1155"/>
      <c r="P13" s="1156"/>
      <c r="Q13" s="1152"/>
      <c r="R13" s="500"/>
      <c r="S13" s="497"/>
      <c r="T13" s="833"/>
      <c r="U13" s="833"/>
      <c r="V13" s="954"/>
      <c r="W13" s="833"/>
      <c r="X13" s="838"/>
      <c r="Y13" s="838"/>
      <c r="Z13" s="838"/>
    </row>
    <row r="14" spans="1:26" s="305" customFormat="1" ht="19.899999999999999" customHeight="1" x14ac:dyDescent="0.35">
      <c r="A14" s="306"/>
      <c r="B14" s="312"/>
      <c r="C14" s="328"/>
      <c r="D14" s="309"/>
      <c r="E14" s="707" t="s">
        <v>122</v>
      </c>
      <c r="F14" s="707" t="s">
        <v>529</v>
      </c>
      <c r="G14" s="707" t="s">
        <v>15</v>
      </c>
      <c r="H14" s="707" t="s">
        <v>42</v>
      </c>
      <c r="I14" s="707" t="s">
        <v>43</v>
      </c>
      <c r="J14" s="1137" t="s">
        <v>514</v>
      </c>
      <c r="K14" s="1137"/>
      <c r="L14" s="707" t="s">
        <v>515</v>
      </c>
      <c r="M14" s="313"/>
      <c r="N14" s="306"/>
      <c r="O14" s="1155" t="str">
        <f>IF(C9="","",C9)</f>
        <v/>
      </c>
      <c r="P14" s="1156"/>
      <c r="Q14" s="1152" t="str">
        <f>IF(C9="","",1)</f>
        <v/>
      </c>
      <c r="R14" s="500"/>
      <c r="S14" s="497"/>
      <c r="T14" s="838"/>
      <c r="U14" s="838"/>
      <c r="V14" s="838"/>
      <c r="W14" s="838"/>
      <c r="X14" s="838"/>
      <c r="Y14" s="838"/>
      <c r="Z14" s="838"/>
    </row>
    <row r="15" spans="1:26" s="305" customFormat="1" ht="29.25" customHeight="1" x14ac:dyDescent="0.25">
      <c r="A15" s="306"/>
      <c r="B15" s="312" t="s">
        <v>20</v>
      </c>
      <c r="C15" s="340"/>
      <c r="D15" s="309"/>
      <c r="E15" s="649" t="str">
        <f>IF(B42=1,IF(C9="","",IF(C9="Mon fourrage",VLOOKUP($C$11,NOUVEAU!$E$22:$N30,3),VLOOKUP($E$9,$C$78:L246,2))),IF(C9="","",IF(C9="Mon fourrage",VLOOKUP($C$11,NOUVEAU!$E$22:$N30,3),VLOOKUP($E$9,$C$259:L433,2))))</f>
        <v/>
      </c>
      <c r="F15" s="648" t="str">
        <f>IF(B42=1,IF(C9="","",IF(C9="Mon fourrage",VLOOKUP($C$11,NOUVEAU!$E$22:$N30,4),VLOOKUP($E$9,$C$78:M246,3))),IF(C9="","",IF(C9="Mon fourrage",VLOOKUP($C$11,NOUVEAU!$E$22:$N30,4),VLOOKUP($E$9,$C$259:M433,3))))</f>
        <v/>
      </c>
      <c r="G15" s="648" t="str">
        <f>IF(B42=1,IF(C9="","",IF(C9="Mon fourrage",VLOOKUP($C$11,NOUVEAU!$E$22:$N30,5),VLOOKUP($E$9,$C$78:N246,5))),IF(C9="","",IF(C9="Mon fourrage",VLOOKUP($C$11,NOUVEAU!$E$22:$N30,5),VLOOKUP($E$9,$C$259:N433,5))))</f>
        <v/>
      </c>
      <c r="H15" s="649" t="str">
        <f>IF(B42=1,IF(C9="","",IF(C9="Mon fourrage",VLOOKUP($C$11,NOUVEAU!$E$22:$N30,7),VLOOKUP($E$9,$C$78:O246,7))),IF(C9="","",IF(C9="Mon fourrage",VLOOKUP($C$11,NOUVEAU!$E$22:$N30,7),VLOOKUP($E$9,$C$259:O433,7))))</f>
        <v/>
      </c>
      <c r="I15" s="649" t="str">
        <f>IF(B42=1,IF(C9="","",IF(C9="Mon fourrage",VLOOKUP($C$11,NOUVEAU!$E$22:$N30,8),VLOOKUP($E$9,$C$78:P246,8))),IF(C9="","",IF(C9="Mon fourrage",VLOOKUP($C$11,NOUVEAU!$E$22:$N30,8),VLOOKUP($E$9,$C$259:P433,8))))</f>
        <v/>
      </c>
      <c r="J15" s="1136" t="str">
        <f>IF(B42=1,IF(C9="","",IF(C9="Mon fourrage",VLOOKUP($C$11,NOUVEAU!$E$22:$N30,9),VLOOKUP($E$9,$C$78:Q246,9))),IF(C9="","",IF(C9="Mon fourrage",VLOOKUP($C$11,NOUVEAU!$E$22:$N30,9),VLOOKUP($E$9,$C$259:Q433,9))))</f>
        <v/>
      </c>
      <c r="K15" s="1136" t="e">
        <f>IF(B9="","",IF(B9="Mon fourrage",VLOOKUP($C$11,NOUVEAU!$E$22:$N31,10),VLOOKUP($E$9,$C$78:R246,10)))</f>
        <v>#N/A</v>
      </c>
      <c r="L15" s="644" t="str">
        <f>IF(B42=1,IF(C9="","",IF(C9="Mon fourrage",VLOOKUP($C$11,NOUVEAU!$E$22:$N30,10),VLOOKUP($E$9,$C$78:S246,10))),IF(C9="","",IF(C9="Mon fourrage",VLOOKUP($C$11,NOUVEAU!$E$22:$N30,10),VLOOKUP($E$9,$C$259:S433,10))))</f>
        <v/>
      </c>
      <c r="M15" s="313"/>
      <c r="N15" s="306"/>
      <c r="O15" s="1155"/>
      <c r="P15" s="1156"/>
      <c r="Q15" s="1152"/>
      <c r="R15" s="500"/>
      <c r="S15" s="497"/>
      <c r="T15" s="838"/>
      <c r="U15" s="838"/>
      <c r="V15" s="838"/>
      <c r="W15" s="838"/>
      <c r="X15" s="838"/>
      <c r="Y15" s="838"/>
      <c r="Z15" s="838"/>
    </row>
    <row r="16" spans="1:26" s="305" customFormat="1" ht="12.75" customHeight="1" x14ac:dyDescent="0.25">
      <c r="A16" s="306"/>
      <c r="B16" s="317"/>
      <c r="C16" s="309"/>
      <c r="D16" s="309"/>
      <c r="E16" s="316" t="s">
        <v>516</v>
      </c>
      <c r="F16" s="309"/>
      <c r="G16" s="309"/>
      <c r="H16" s="309"/>
      <c r="I16" s="309"/>
      <c r="J16" s="309"/>
      <c r="K16" s="309"/>
      <c r="L16" s="309"/>
      <c r="M16" s="313"/>
      <c r="N16" s="306"/>
      <c r="O16" s="1155"/>
      <c r="P16" s="1156"/>
      <c r="Q16" s="863"/>
      <c r="R16" s="500"/>
      <c r="S16" s="497"/>
      <c r="T16" s="838"/>
      <c r="U16" s="838"/>
      <c r="V16" s="838"/>
      <c r="W16" s="838"/>
      <c r="X16" s="838"/>
      <c r="Y16" s="838"/>
      <c r="Z16" s="838"/>
    </row>
    <row r="17" spans="1:26" s="305" customFormat="1" ht="12.75" customHeight="1" x14ac:dyDescent="0.25">
      <c r="A17" s="306"/>
      <c r="B17" s="315"/>
      <c r="C17" s="314"/>
      <c r="D17" s="314"/>
      <c r="E17" s="322"/>
      <c r="F17" s="323"/>
      <c r="G17" s="324"/>
      <c r="H17" s="322"/>
      <c r="I17" s="323"/>
      <c r="J17" s="321"/>
      <c r="K17" s="321"/>
      <c r="L17" s="321"/>
      <c r="M17" s="325"/>
      <c r="N17" s="306"/>
      <c r="O17" s="504"/>
      <c r="P17" s="24"/>
      <c r="Q17" s="501"/>
      <c r="R17" s="502"/>
      <c r="S17" s="497"/>
      <c r="T17" s="838"/>
      <c r="U17" s="838"/>
      <c r="V17" s="838"/>
      <c r="W17" s="838"/>
      <c r="X17" s="838"/>
      <c r="Y17" s="838"/>
      <c r="Z17" s="838"/>
    </row>
    <row r="18" spans="1:26" s="305" customFormat="1" ht="9" customHeight="1" x14ac:dyDescent="0.5">
      <c r="A18" s="306"/>
      <c r="B18" s="307"/>
      <c r="C18" s="307"/>
      <c r="D18" s="307"/>
      <c r="E18" s="307"/>
      <c r="F18" s="307"/>
      <c r="G18" s="307"/>
      <c r="H18" s="307"/>
      <c r="I18" s="307"/>
      <c r="J18" s="307"/>
      <c r="K18" s="307"/>
      <c r="L18" s="708"/>
      <c r="M18" s="708"/>
      <c r="N18" s="306"/>
      <c r="O18" s="497"/>
      <c r="P18" s="16"/>
      <c r="Q18" s="497"/>
      <c r="R18" s="497"/>
      <c r="S18" s="497"/>
      <c r="T18" s="838"/>
      <c r="U18" s="838"/>
      <c r="V18" s="838"/>
      <c r="W18" s="838"/>
      <c r="X18" s="838"/>
      <c r="Y18" s="838"/>
      <c r="Z18" s="838"/>
    </row>
    <row r="19" spans="1:26" ht="11.25" customHeight="1" x14ac:dyDescent="0.25">
      <c r="A19" s="10"/>
      <c r="B19" s="4"/>
      <c r="C19" s="23"/>
      <c r="D19" s="4"/>
      <c r="E19" s="4"/>
      <c r="F19" s="123"/>
      <c r="G19" s="6"/>
      <c r="H19" s="6"/>
      <c r="I19" s="6"/>
      <c r="J19" s="6"/>
      <c r="K19" s="709"/>
      <c r="L19" s="709"/>
      <c r="M19" s="709"/>
      <c r="N19" s="10"/>
      <c r="O19" s="497"/>
      <c r="P19" s="497"/>
      <c r="Q19" s="497"/>
      <c r="R19" s="497"/>
      <c r="S19" s="497"/>
      <c r="T19" s="838"/>
      <c r="U19" s="838"/>
      <c r="V19" s="838"/>
      <c r="W19" s="838"/>
      <c r="X19" s="838"/>
      <c r="Y19" s="838"/>
      <c r="Z19" s="838"/>
    </row>
    <row r="20" spans="1:26" ht="10.15" customHeight="1" x14ac:dyDescent="0.25">
      <c r="A20" s="10"/>
      <c r="B20" s="28"/>
      <c r="C20" s="75"/>
      <c r="D20" s="29"/>
      <c r="E20" s="1146" t="s">
        <v>984</v>
      </c>
      <c r="F20" s="1146"/>
      <c r="G20" s="1146"/>
      <c r="H20" s="1146"/>
      <c r="I20" s="1146"/>
      <c r="J20" s="1146"/>
      <c r="K20" s="330"/>
      <c r="L20" s="710"/>
      <c r="M20" s="711"/>
      <c r="N20" s="527"/>
      <c r="O20" s="336"/>
      <c r="P20" s="330"/>
      <c r="Q20" s="330"/>
      <c r="R20" s="498"/>
      <c r="S20" s="497"/>
      <c r="T20" s="838"/>
      <c r="U20" s="838"/>
      <c r="V20" s="838"/>
      <c r="W20" s="838"/>
      <c r="X20" s="838"/>
      <c r="Y20" s="838"/>
      <c r="Z20" s="838"/>
    </row>
    <row r="21" spans="1:26" s="122" customFormat="1" ht="13.9" customHeight="1" x14ac:dyDescent="0.25">
      <c r="A21" s="126"/>
      <c r="B21" s="1150" t="s">
        <v>1150</v>
      </c>
      <c r="C21" s="1151"/>
      <c r="D21" s="1151"/>
      <c r="E21" s="1147"/>
      <c r="F21" s="1147"/>
      <c r="G21" s="1147"/>
      <c r="H21" s="1147"/>
      <c r="I21" s="1147"/>
      <c r="J21" s="1147"/>
      <c r="K21" s="1144" t="s">
        <v>982</v>
      </c>
      <c r="L21" s="1144"/>
      <c r="M21" s="1145"/>
      <c r="N21" s="527"/>
      <c r="O21" s="1139" t="s">
        <v>470</v>
      </c>
      <c r="P21" s="1140"/>
      <c r="Q21" s="1140"/>
      <c r="R21" s="1141"/>
      <c r="S21" s="497"/>
      <c r="T21" s="838"/>
      <c r="U21" s="838"/>
      <c r="V21" s="838"/>
      <c r="W21" s="838"/>
      <c r="X21" s="838"/>
      <c r="Y21" s="838"/>
      <c r="Z21" s="838"/>
    </row>
    <row r="22" spans="1:26" s="72" customFormat="1" ht="30" customHeight="1" x14ac:dyDescent="0.25">
      <c r="A22" s="100"/>
      <c r="B22" s="1150"/>
      <c r="C22" s="1151"/>
      <c r="D22" s="1151"/>
      <c r="E22" s="1147"/>
      <c r="F22" s="1147"/>
      <c r="G22" s="1147"/>
      <c r="H22" s="1147"/>
      <c r="I22" s="1147"/>
      <c r="J22" s="1147"/>
      <c r="K22" s="1144"/>
      <c r="L22" s="1144"/>
      <c r="M22" s="1145"/>
      <c r="N22" s="527"/>
      <c r="O22" s="1139"/>
      <c r="P22" s="1140"/>
      <c r="Q22" s="1140"/>
      <c r="R22" s="1141"/>
      <c r="S22" s="497"/>
      <c r="T22" s="838"/>
      <c r="U22" s="838"/>
      <c r="V22" s="838"/>
      <c r="W22" s="838"/>
      <c r="X22" s="838"/>
      <c r="Y22" s="838"/>
      <c r="Z22" s="838"/>
    </row>
    <row r="23" spans="1:26" ht="30" customHeight="1" thickBot="1" x14ac:dyDescent="0.3">
      <c r="A23" s="10"/>
      <c r="B23" s="20" t="s">
        <v>37</v>
      </c>
      <c r="C23" s="38"/>
      <c r="D23" s="4"/>
      <c r="E23" s="1118" t="str">
        <f>CONCATENATE(C23,"    ",C25,"    ",C27,"  ",C29)</f>
        <v xml:space="preserve">          </v>
      </c>
      <c r="F23" s="1118"/>
      <c r="G23" s="1118"/>
      <c r="H23" s="1118"/>
      <c r="I23" s="1118"/>
      <c r="J23" s="1118"/>
      <c r="K23" s="1144"/>
      <c r="L23" s="1144"/>
      <c r="M23" s="1145"/>
      <c r="N23" s="527"/>
      <c r="O23" s="1123" t="s">
        <v>466</v>
      </c>
      <c r="P23" s="1124"/>
      <c r="Q23" s="1125">
        <f>IF(ANIMAL!C8="","",ANIMAL!F16/ANIMAL!E16)</f>
        <v>0.66666666666666663</v>
      </c>
      <c r="R23" s="1126"/>
      <c r="S23" s="497"/>
      <c r="T23" s="838"/>
      <c r="U23" s="838"/>
      <c r="V23" s="838"/>
      <c r="W23" s="838"/>
      <c r="X23" s="838"/>
      <c r="Y23" s="838"/>
    </row>
    <row r="24" spans="1:26" ht="15" customHeight="1" x14ac:dyDescent="0.25">
      <c r="A24" s="10"/>
      <c r="B24" s="20"/>
      <c r="C24" s="4"/>
      <c r="D24" s="4"/>
      <c r="E24" s="1118"/>
      <c r="F24" s="1118"/>
      <c r="G24" s="1118"/>
      <c r="H24" s="1118"/>
      <c r="I24" s="1118"/>
      <c r="J24" s="1118"/>
      <c r="K24" s="118"/>
      <c r="L24" s="1148"/>
      <c r="M24" s="21"/>
      <c r="N24" s="10"/>
      <c r="O24" s="527"/>
      <c r="P24" s="526"/>
      <c r="Q24" s="526"/>
      <c r="R24" s="500"/>
      <c r="S24" s="497"/>
    </row>
    <row r="25" spans="1:26" ht="30" customHeight="1" thickBot="1" x14ac:dyDescent="0.3">
      <c r="A25" s="10"/>
      <c r="B25" s="20" t="s">
        <v>126</v>
      </c>
      <c r="C25" s="38"/>
      <c r="D25" s="4"/>
      <c r="E25" s="1118"/>
      <c r="F25" s="1118"/>
      <c r="G25" s="1118"/>
      <c r="H25" s="1118"/>
      <c r="I25" s="1118"/>
      <c r="J25" s="1118"/>
      <c r="K25" s="118"/>
      <c r="L25" s="1149"/>
      <c r="M25" s="21"/>
      <c r="N25" s="10"/>
      <c r="O25" s="865" t="str">
        <f>IF(C23="","",IF(Q23&gt;Q27,"&gt;","&lt;"))</f>
        <v/>
      </c>
      <c r="P25" s="1142" t="s">
        <v>471</v>
      </c>
      <c r="Q25" s="1142"/>
      <c r="R25" s="1143"/>
      <c r="S25" s="497"/>
    </row>
    <row r="26" spans="1:26" ht="15" customHeight="1" x14ac:dyDescent="0.3">
      <c r="A26" s="10"/>
      <c r="B26" s="20"/>
      <c r="C26" s="4"/>
      <c r="D26" s="4"/>
      <c r="E26" s="5"/>
      <c r="F26" s="124"/>
      <c r="G26" s="5"/>
      <c r="H26" s="5"/>
      <c r="I26" s="5"/>
      <c r="J26" s="5"/>
      <c r="K26" s="74"/>
      <c r="L26" s="5"/>
      <c r="M26" s="21"/>
      <c r="N26" s="10"/>
      <c r="O26" s="864"/>
      <c r="P26" s="1142"/>
      <c r="Q26" s="1142"/>
      <c r="R26" s="1143"/>
      <c r="S26" s="497"/>
    </row>
    <row r="27" spans="1:26" ht="30" customHeight="1" x14ac:dyDescent="0.25">
      <c r="A27" s="10"/>
      <c r="B27" s="20" t="s">
        <v>32</v>
      </c>
      <c r="C27" s="39"/>
      <c r="D27" s="4"/>
      <c r="E27" s="1138" t="s">
        <v>985</v>
      </c>
      <c r="F27" s="1138"/>
      <c r="G27" s="1138"/>
      <c r="H27" s="1138"/>
      <c r="I27" s="1138"/>
      <c r="J27" s="1138"/>
      <c r="K27" s="1138"/>
      <c r="L27" s="1138"/>
      <c r="M27" s="21"/>
      <c r="N27" s="10"/>
      <c r="O27" s="1123" t="s">
        <v>465</v>
      </c>
      <c r="P27" s="1124"/>
      <c r="Q27" s="1125" t="str">
        <f>IF(C9="","",IF(L24="",G15/F15,AVERAGE((G15/F1),(G29/F29))))</f>
        <v/>
      </c>
      <c r="R27" s="1126"/>
      <c r="S27" s="497"/>
    </row>
    <row r="28" spans="1:26" ht="20.25" x14ac:dyDescent="0.35">
      <c r="A28" s="10"/>
      <c r="B28" s="20"/>
      <c r="C28" s="4"/>
      <c r="D28" s="4"/>
      <c r="E28" s="422" t="s">
        <v>122</v>
      </c>
      <c r="F28" s="422" t="s">
        <v>14</v>
      </c>
      <c r="G28" s="422" t="s">
        <v>15</v>
      </c>
      <c r="H28" s="422" t="s">
        <v>42</v>
      </c>
      <c r="I28" s="422" t="s">
        <v>43</v>
      </c>
      <c r="J28" s="1137" t="s">
        <v>514</v>
      </c>
      <c r="K28" s="1137"/>
      <c r="L28" s="422" t="s">
        <v>515</v>
      </c>
      <c r="M28" s="21"/>
      <c r="N28" s="10"/>
      <c r="O28" s="1128" t="str">
        <f>IF(C9="","",IF(Q23&gt;Q27,"Il faut ajouter un concentré","Un concentré n'est pas nécessaire"))</f>
        <v/>
      </c>
      <c r="P28" s="1129"/>
      <c r="Q28" s="1129"/>
      <c r="R28" s="1130"/>
      <c r="S28" s="497"/>
    </row>
    <row r="29" spans="1:26" ht="30" customHeight="1" x14ac:dyDescent="0.25">
      <c r="A29" s="10"/>
      <c r="B29" s="20" t="s">
        <v>20</v>
      </c>
      <c r="C29" s="39"/>
      <c r="D29" s="4"/>
      <c r="E29" s="8" t="str">
        <f>IF(B42=1,IF(C23="","",IF(C23="Mon fourrage",VLOOKUP($C$25,NOUVEAU!$E$22:$N30,3),VLOOKUP($E$23,$C$78:L246,2))),IF(C23="","",IF(C23="Mon fourrage",VLOOKUP($C$25,NOUVEAU!$E$22:$N30,3),VLOOKUP($E$23,$C$259:L433,2))))</f>
        <v/>
      </c>
      <c r="F29" s="212" t="str">
        <f>IF(B42=1,IF(C23="","",IF(C23="Mon fourrage",VLOOKUP($C$25,NOUVEAU!$E$22:$N30,4),VLOOKUP($E$23,$C$78:M246,3))),IF(C23="","",IF(C23="Mon fourrage",VLOOKUP($C$25,NOUVEAU!$E$22:$N30,4),VLOOKUP($E$23,$C$259:M433,3))))</f>
        <v/>
      </c>
      <c r="G29" s="212" t="str">
        <f>IF(B42=1,IF(C23="","",IF(C23="Mon fourrage",VLOOKUP($C$25,NOUVEAU!$E$22:$N30,5),VLOOKUP($E$23,$C$78:N246,5))),IF(C23="","",IF(C23="Mon fourrage",VLOOKUP($C$25,NOUVEAU!$E$22:$N30,5),VLOOKUP($E$23,$C$259:N433,5))))</f>
        <v/>
      </c>
      <c r="H29" s="8" t="str">
        <f>IF(B42=1,IF(C23="","",IF(C23="Mon fourrage",VLOOKUP($C$25,NOUVEAU!$E$22:$N30,7),VLOOKUP($E$23,$C$78:O246,7))),IF(C23="","",IF(C23="Mon fourrage",VLOOKUP($C$25,NOUVEAU!$E$22:$N30,7),VLOOKUP($E$23,$C$259:O433,7))))</f>
        <v/>
      </c>
      <c r="I29" s="8" t="str">
        <f>IF(B42=1,IF(C23="","",IF(C23="Mon fourrage",VLOOKUP($C$25,NOUVEAU!$E$22:$N30,8),VLOOKUP($E$23,$C$78:P246,8))),IF(C23="","",IF(C23="Mon fourrage",VLOOKUP($C$25,NOUVEAU!$E$22:$N30,8),VLOOKUP($E$23,$C$259:P433,8))))</f>
        <v/>
      </c>
      <c r="J29" s="1136" t="str">
        <f>IF(B42=1,IF(C23="","",IF(C23="Mon fourrage",VLOOKUP($C$25,NOUVEAU!$E$22:$N30,9),VLOOKUP($E$23,$C$78:Q246,9))),IF(C23="","",IF(C23="Mon fourrage",VLOOKUP($C$25,NOUVEAU!$E$22:$N30,9),VLOOKUP($E$23,$C$259:Q433,9))))</f>
        <v/>
      </c>
      <c r="K29" s="1136"/>
      <c r="L29" s="211" t="str">
        <f>IF(B42=1,IF(C23="","",IF(C23="Mon fourrage",VLOOKUP($C$25,NOUVEAU!$E$22:$N30,10),VLOOKUP($E$23,$C$78:S246,10))),IF(C23="","",IF(C23="Mon fourrage",VLOOKUP($C$25,NOUVEAU!$E$22:$N30,10),VLOOKUP($E$23,$C$259:S433,10))))</f>
        <v/>
      </c>
      <c r="M29" s="21"/>
      <c r="N29" s="10"/>
      <c r="O29" s="1128"/>
      <c r="P29" s="1129"/>
      <c r="Q29" s="1129"/>
      <c r="R29" s="1130"/>
      <c r="S29" s="497"/>
    </row>
    <row r="30" spans="1:26" ht="22.5" customHeight="1" x14ac:dyDescent="0.25">
      <c r="A30" s="10"/>
      <c r="B30" s="335"/>
      <c r="C30" s="333"/>
      <c r="D30" s="333"/>
      <c r="E30" s="227" t="s">
        <v>289</v>
      </c>
      <c r="F30" s="333"/>
      <c r="G30" s="333"/>
      <c r="H30" s="333"/>
      <c r="I30" s="333"/>
      <c r="J30" s="333"/>
      <c r="K30" s="333"/>
      <c r="L30" s="333"/>
      <c r="M30" s="334"/>
      <c r="N30" s="10"/>
      <c r="O30" s="1131"/>
      <c r="P30" s="1132"/>
      <c r="Q30" s="1132"/>
      <c r="R30" s="1133"/>
      <c r="S30" s="497"/>
    </row>
    <row r="31" spans="1:26" s="327" customFormat="1" ht="15" customHeight="1" x14ac:dyDescent="0.25">
      <c r="A31" s="329"/>
      <c r="B31" s="328"/>
      <c r="C31" s="328"/>
      <c r="D31" s="328"/>
      <c r="E31" s="341"/>
      <c r="F31" s="328"/>
      <c r="G31" s="328"/>
      <c r="H31" s="328"/>
      <c r="I31" s="328"/>
      <c r="J31" s="328"/>
      <c r="K31" s="328"/>
      <c r="L31" s="328"/>
      <c r="M31" s="328"/>
      <c r="N31" s="329"/>
      <c r="O31" s="497"/>
      <c r="P31" s="497"/>
      <c r="Q31" s="497"/>
      <c r="R31" s="497"/>
      <c r="S31" s="497"/>
    </row>
    <row r="32" spans="1:26" s="722" customFormat="1" ht="12" customHeight="1" x14ac:dyDescent="0.25">
      <c r="E32" s="870"/>
    </row>
    <row r="33" spans="1:21" s="722" customFormat="1" ht="24" customHeight="1" x14ac:dyDescent="0.25">
      <c r="B33" s="1127"/>
      <c r="C33" s="1127"/>
      <c r="D33" s="1127"/>
      <c r="E33" s="1127"/>
      <c r="F33" s="866"/>
      <c r="G33" s="1135"/>
      <c r="H33" s="1135"/>
      <c r="J33" s="1135"/>
      <c r="K33" s="1135"/>
      <c r="L33" s="1135"/>
    </row>
    <row r="34" spans="1:21" s="722" customFormat="1" ht="30" customHeight="1" x14ac:dyDescent="0.25">
      <c r="B34" s="1127"/>
      <c r="C34" s="1127"/>
      <c r="D34" s="1127"/>
      <c r="E34" s="1127"/>
      <c r="F34" s="866"/>
      <c r="G34" s="867"/>
      <c r="H34" s="868"/>
      <c r="I34" s="869"/>
      <c r="J34" s="1134"/>
      <c r="K34" s="1134"/>
      <c r="L34" s="868"/>
      <c r="M34" s="866"/>
    </row>
    <row r="35" spans="1:21" s="722" customFormat="1" ht="12.75" customHeight="1" x14ac:dyDescent="0.25">
      <c r="E35" s="871"/>
      <c r="F35" s="872"/>
      <c r="G35" s="873"/>
      <c r="H35" s="871"/>
      <c r="I35" s="872"/>
      <c r="J35" s="866"/>
      <c r="K35" s="866"/>
      <c r="L35" s="866"/>
      <c r="M35" s="866"/>
    </row>
    <row r="36" spans="1:21" s="722" customFormat="1" x14ac:dyDescent="0.25"/>
    <row r="37" spans="1:21" s="216" customFormat="1" x14ac:dyDescent="0.25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125"/>
      <c r="O37" s="125"/>
    </row>
    <row r="38" spans="1:21" s="364" customFormat="1" x14ac:dyDescent="0.25">
      <c r="A38" s="371"/>
      <c r="B38" s="371"/>
      <c r="C38" s="371"/>
      <c r="D38" s="371"/>
      <c r="E38" s="371"/>
      <c r="F38" s="371"/>
      <c r="G38" s="371"/>
      <c r="H38" s="371"/>
      <c r="I38" s="371"/>
      <c r="J38" s="371"/>
      <c r="K38" s="371"/>
      <c r="L38" s="371"/>
      <c r="M38" s="371"/>
      <c r="N38" s="366"/>
      <c r="O38" s="366"/>
    </row>
    <row r="39" spans="1:21" s="364" customFormat="1" hidden="1" outlineLevel="1" x14ac:dyDescent="0.25">
      <c r="A39" s="371"/>
      <c r="B39" s="371"/>
      <c r="C39" s="371"/>
      <c r="D39" s="371"/>
      <c r="E39" s="371"/>
      <c r="F39" s="371"/>
      <c r="G39" s="371"/>
      <c r="H39" s="371"/>
      <c r="I39" s="371"/>
      <c r="J39" s="371"/>
      <c r="K39" s="371"/>
      <c r="L39" s="371"/>
      <c r="M39" s="371"/>
      <c r="N39" s="366"/>
      <c r="O39" s="366"/>
    </row>
    <row r="40" spans="1:21" s="364" customFormat="1" hidden="1" outlineLevel="1" x14ac:dyDescent="0.25">
      <c r="A40" s="371"/>
      <c r="B40" s="371"/>
      <c r="C40" s="371"/>
      <c r="D40" s="371"/>
      <c r="E40" s="371"/>
      <c r="F40" s="371"/>
      <c r="G40" s="371"/>
      <c r="H40" s="371"/>
      <c r="I40" s="371"/>
      <c r="J40" s="402" t="str">
        <f>IF($C$9="Mon fourrage",NOUVEAU!E22,IF($C$9="Paille",Q40,IF($C$9="Ensilage",L40,IF($C$9="Pâture",S40,O40))))</f>
        <v>Prairie naturelle</v>
      </c>
      <c r="K40" s="371"/>
      <c r="L40" s="371" t="s">
        <v>33</v>
      </c>
      <c r="M40" s="371"/>
      <c r="N40" s="366"/>
      <c r="O40" s="366" t="s">
        <v>33</v>
      </c>
      <c r="Q40" s="364" t="s">
        <v>51</v>
      </c>
      <c r="S40" s="365" t="s">
        <v>404</v>
      </c>
      <c r="U40" s="383" t="s">
        <v>405</v>
      </c>
    </row>
    <row r="41" spans="1:21" s="364" customFormat="1" ht="15.75" hidden="1" outlineLevel="1" thickBot="1" x14ac:dyDescent="0.3">
      <c r="A41" s="371"/>
      <c r="B41" s="799">
        <f>IF(L24="",0,L24*(E29/100)*F29)</f>
        <v>0</v>
      </c>
      <c r="C41" s="371"/>
      <c r="D41" s="371"/>
      <c r="E41" s="371"/>
      <c r="F41" s="371"/>
      <c r="G41" s="371"/>
      <c r="H41" s="371"/>
      <c r="I41" s="371"/>
      <c r="J41" s="402" t="str">
        <f>IF($C$9="Mon fourrage",NOUVEAU!E23,IF($C$9="Paille",Q41,IF($C$9="Ensilage",L41,IF($C$9="Pâture",S41,O41))))</f>
        <v>Fétuque élevée</v>
      </c>
      <c r="K41" s="371"/>
      <c r="L41" s="371" t="s">
        <v>255</v>
      </c>
      <c r="M41" s="371"/>
      <c r="N41" s="366"/>
      <c r="O41" s="366" t="s">
        <v>155</v>
      </c>
      <c r="Q41" s="364" t="s">
        <v>54</v>
      </c>
      <c r="S41" s="365" t="s">
        <v>259</v>
      </c>
      <c r="U41" s="383" t="s">
        <v>406</v>
      </c>
    </row>
    <row r="42" spans="1:21" s="364" customFormat="1" ht="15.75" hidden="1" outlineLevel="1" thickBot="1" x14ac:dyDescent="0.3">
      <c r="A42" s="371"/>
      <c r="B42" s="807">
        <v>1</v>
      </c>
      <c r="C42" s="371"/>
      <c r="D42" s="371"/>
      <c r="E42" s="371" t="str">
        <f>IF($C$9="Mon Fourrage","",IF($C$9="Pâture","Déprimage",IF($C$9="Paille","",IF($C$11="Maïs","",L50))))</f>
        <v>1er cycle début épiaison (25/05)</v>
      </c>
      <c r="F42" s="371"/>
      <c r="G42" s="371"/>
      <c r="H42" s="371"/>
      <c r="I42" s="371"/>
      <c r="J42" s="402" t="str">
        <f>IF($C$9="Mon fourrage",NOUVEAU!E24,IF($C$9="Paille",Q42,IF($C$9="Ensilage",L42,IF($C$9="Pâture",S42,O42))))</f>
        <v>Luzerne-Dactyle</v>
      </c>
      <c r="K42" s="371"/>
      <c r="L42" s="371" t="s">
        <v>35</v>
      </c>
      <c r="M42" s="371"/>
      <c r="N42" s="366"/>
      <c r="O42" s="366" t="s">
        <v>35</v>
      </c>
      <c r="Q42" s="364" t="s">
        <v>62</v>
      </c>
      <c r="S42" s="365" t="s">
        <v>418</v>
      </c>
      <c r="U42" s="383" t="s">
        <v>407</v>
      </c>
    </row>
    <row r="43" spans="1:21" s="364" customFormat="1" hidden="1" outlineLevel="1" x14ac:dyDescent="0.25">
      <c r="A43" s="371"/>
      <c r="B43" s="371"/>
      <c r="C43" s="371" t="s">
        <v>24</v>
      </c>
      <c r="D43" s="371"/>
      <c r="E43" s="371" t="str">
        <f>IF($C$9="Mon Fourrage","",IF($C$9="Pâture","Printemps",IF($C$9="Paille","",IF($C$11="Maïs","",L51))))</f>
        <v>1er cycle  épaison (10/06)</v>
      </c>
      <c r="F43" s="371"/>
      <c r="G43" s="371"/>
      <c r="H43" s="371"/>
      <c r="I43" s="371"/>
      <c r="J43" s="402" t="str">
        <f>IF($C$9="Mon fourrage",NOUVEAU!E25,IF($C$9="Paille",Q43,IF($C$9="Ensilage",L43,IF($C$9="Pâture",S43,O43))))</f>
        <v>Trèfle-Ray Grass</v>
      </c>
      <c r="K43" s="371"/>
      <c r="L43" s="371" t="s">
        <v>34</v>
      </c>
      <c r="M43" s="371"/>
      <c r="N43" s="366"/>
      <c r="O43" s="366" t="s">
        <v>34</v>
      </c>
      <c r="Q43" s="364" t="s">
        <v>58</v>
      </c>
      <c r="S43" s="365" t="s">
        <v>64</v>
      </c>
      <c r="U43" s="383" t="s">
        <v>408</v>
      </c>
    </row>
    <row r="44" spans="1:21" s="364" customFormat="1" hidden="1" outlineLevel="1" x14ac:dyDescent="0.25">
      <c r="A44" s="371"/>
      <c r="B44" s="371"/>
      <c r="C44" s="371" t="s">
        <v>25</v>
      </c>
      <c r="D44" s="371"/>
      <c r="E44" s="371" t="str">
        <f>IF($C$9="Mon Fourrage","",IF($C$9="Pâture","Fin Printemps",IF($C$9="Paille","",IF($C$11="Maïs","",L52))))</f>
        <v>1er cycle début floraison (20/06)</v>
      </c>
      <c r="F44" s="371"/>
      <c r="G44" s="371"/>
      <c r="H44" s="371"/>
      <c r="I44" s="371"/>
      <c r="J44" s="402" t="str">
        <f>IF($C$9="Mon fourrage",NOUVEAU!E26,IF($C$9="Paille",Q44,IF($C$9="Ensilage",L44,IF($C$9="Pâture",S44,O44))))</f>
        <v>Ray Grass Italien</v>
      </c>
      <c r="K44" s="371"/>
      <c r="L44" s="371" t="s">
        <v>149</v>
      </c>
      <c r="M44" s="371"/>
      <c r="N44" s="366"/>
      <c r="O44" s="366" t="s">
        <v>149</v>
      </c>
      <c r="Q44" s="364" t="s">
        <v>154</v>
      </c>
      <c r="S44" s="365" t="s">
        <v>260</v>
      </c>
      <c r="U44" s="364" t="s">
        <v>41</v>
      </c>
    </row>
    <row r="45" spans="1:21" s="364" customFormat="1" hidden="1" outlineLevel="1" x14ac:dyDescent="0.25">
      <c r="A45" s="371"/>
      <c r="B45" s="371"/>
      <c r="C45" s="371" t="s">
        <v>26</v>
      </c>
      <c r="D45" s="371"/>
      <c r="E45" s="371" t="str">
        <f>IF($C$9="Mon Fourrage","",IF($C$9="Pâture","Repousse",IF($C$9="Paille","",IF($C$11="Maïs","",L53))))</f>
        <v>2ème cycle (regain)</v>
      </c>
      <c r="F45" s="371"/>
      <c r="G45" s="371"/>
      <c r="H45" s="371"/>
      <c r="I45" s="371"/>
      <c r="J45" s="402" t="str">
        <f>IF($C$9="Mon fourrage",NOUVEAU!E27,IF($C$9="Paille",Q45,IF($C$9="Ensilage",L45,IF($C$9="Pâture",S45,O45))))</f>
        <v>Luzerne</v>
      </c>
      <c r="K45" s="371"/>
      <c r="L45" s="371" t="s">
        <v>256</v>
      </c>
      <c r="M45" s="371"/>
      <c r="N45" s="366"/>
      <c r="O45" s="366" t="s">
        <v>256</v>
      </c>
      <c r="P45" s="364" t="s">
        <v>41</v>
      </c>
      <c r="Q45" s="364" t="s">
        <v>41</v>
      </c>
      <c r="S45" s="365" t="s">
        <v>58</v>
      </c>
      <c r="U45" s="364" t="s">
        <v>41</v>
      </c>
    </row>
    <row r="46" spans="1:21" s="364" customFormat="1" hidden="1" outlineLevel="1" x14ac:dyDescent="0.25">
      <c r="A46" s="371"/>
      <c r="B46" s="371"/>
      <c r="C46" s="371" t="s">
        <v>27</v>
      </c>
      <c r="D46" s="371"/>
      <c r="E46" s="371" t="str">
        <f>IF($C$9="Mon Fourrage","",IF($C$9="Pâture","Dérobé",IF($C$9="Paille","",IF($C$11="Maïs","",L54))))</f>
        <v xml:space="preserve"> </v>
      </c>
      <c r="F46" s="371"/>
      <c r="G46" s="371"/>
      <c r="H46" s="371"/>
      <c r="I46" s="371"/>
      <c r="J46" s="402" t="str">
        <f>IF($C$9="Mon fourrage",NOUVEAU!E28,IF($C$9="Paille",Q46,IF($C$9="Ensilage",L46,IF($C$9="Pâture",S46,O46))))</f>
        <v xml:space="preserve"> </v>
      </c>
      <c r="K46" s="371"/>
      <c r="L46" s="371" t="s">
        <v>39</v>
      </c>
      <c r="M46" s="371"/>
      <c r="N46" s="366"/>
      <c r="O46" s="366" t="s">
        <v>41</v>
      </c>
      <c r="Q46" s="364" t="s">
        <v>41</v>
      </c>
      <c r="S46" s="365" t="s">
        <v>261</v>
      </c>
      <c r="U46" s="364" t="s">
        <v>41</v>
      </c>
    </row>
    <row r="47" spans="1:21" s="364" customFormat="1" hidden="1" outlineLevel="1" x14ac:dyDescent="0.25">
      <c r="A47" s="371"/>
      <c r="B47" s="371"/>
      <c r="C47" s="371" t="s">
        <v>528</v>
      </c>
      <c r="D47" s="371"/>
      <c r="E47" s="371" t="str">
        <f>IF($C$9="Mon Fourrage","",IF($C$9="Pâture","",IF($C$9="Paille","",IF($C$11="Maïs","",L55))))</f>
        <v xml:space="preserve"> </v>
      </c>
      <c r="F47" s="371"/>
      <c r="G47" s="371"/>
      <c r="H47" s="371"/>
      <c r="I47" s="371"/>
      <c r="J47" s="371"/>
      <c r="K47" s="371"/>
      <c r="L47" s="371"/>
      <c r="M47" s="371"/>
      <c r="N47" s="366"/>
      <c r="O47" s="366"/>
    </row>
    <row r="48" spans="1:21" s="364" customFormat="1" hidden="1" outlineLevel="1" x14ac:dyDescent="0.25">
      <c r="A48" s="371"/>
      <c r="B48" s="371"/>
      <c r="C48" s="371"/>
      <c r="D48" s="371"/>
      <c r="E48" s="371" t="s">
        <v>41</v>
      </c>
      <c r="F48" s="371"/>
      <c r="G48" s="371"/>
      <c r="H48" s="371"/>
      <c r="I48" s="371"/>
      <c r="J48" s="371"/>
      <c r="K48" s="371"/>
      <c r="L48" s="371"/>
      <c r="M48" s="371"/>
      <c r="N48" s="366"/>
      <c r="O48" s="366"/>
    </row>
    <row r="49" spans="1:21" s="364" customFormat="1" hidden="1" outlineLevel="1" x14ac:dyDescent="0.25">
      <c r="A49" s="371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66"/>
      <c r="O49" s="366"/>
    </row>
    <row r="50" spans="1:21" s="364" customFormat="1" hidden="1" outlineLevel="1" x14ac:dyDescent="0.25">
      <c r="A50" s="371"/>
      <c r="B50" s="371"/>
      <c r="C50" s="371"/>
      <c r="D50" s="371" t="s">
        <v>28</v>
      </c>
      <c r="E50" s="371"/>
      <c r="F50" s="371"/>
      <c r="G50" s="371" t="s">
        <v>29</v>
      </c>
      <c r="H50" s="371"/>
      <c r="I50" s="387"/>
      <c r="J50" s="371"/>
      <c r="K50" s="371"/>
      <c r="L50" s="371" t="s">
        <v>1281</v>
      </c>
      <c r="M50" s="371"/>
      <c r="N50" s="366"/>
      <c r="O50" s="366"/>
      <c r="P50" s="364" t="s">
        <v>153</v>
      </c>
    </row>
    <row r="51" spans="1:21" s="364" customFormat="1" hidden="1" outlineLevel="1" x14ac:dyDescent="0.25">
      <c r="A51" s="371"/>
      <c r="B51" s="371"/>
      <c r="C51" s="402" t="str">
        <f>IF($C$9="Mon Fourrage","",IF($C$9="Pâture","",IF($C$9="Foin",D50,IF($C$9="Paille","",IF($C$11="Maïs",P50,G50)))))</f>
        <v>Ressuyage (25 % MS)</v>
      </c>
      <c r="D51" s="371" t="s">
        <v>147</v>
      </c>
      <c r="E51" s="371"/>
      <c r="F51" s="371"/>
      <c r="G51" s="371" t="s">
        <v>30</v>
      </c>
      <c r="H51" s="371"/>
      <c r="I51" s="371"/>
      <c r="J51" s="371"/>
      <c r="K51" s="371"/>
      <c r="L51" s="371" t="s">
        <v>1282</v>
      </c>
      <c r="M51" s="371"/>
      <c r="N51" s="366"/>
      <c r="O51" s="366"/>
      <c r="P51" s="364" t="s">
        <v>270</v>
      </c>
    </row>
    <row r="52" spans="1:21" s="364" customFormat="1" hidden="1" outlineLevel="1" x14ac:dyDescent="0.25">
      <c r="A52" s="371"/>
      <c r="B52" s="371"/>
      <c r="C52" s="402" t="str">
        <f>IF($C$9="Mon Fourrage","",IF($C$9="Pâture","",IF($C$9="Foin",D51,IF($C$9="Paille","",IF($C$11="Maïs",P51,G51)))))</f>
        <v>Préfané (35 % MS)</v>
      </c>
      <c r="D52" s="371" t="s">
        <v>148</v>
      </c>
      <c r="E52" s="371"/>
      <c r="F52" s="371"/>
      <c r="G52" s="371" t="s">
        <v>31</v>
      </c>
      <c r="H52" s="371"/>
      <c r="I52" s="371"/>
      <c r="J52" s="371"/>
      <c r="K52" s="371"/>
      <c r="L52" s="371" t="s">
        <v>1283</v>
      </c>
      <c r="M52" s="371"/>
      <c r="N52" s="366"/>
      <c r="O52" s="366"/>
      <c r="P52" s="364" t="s">
        <v>152</v>
      </c>
    </row>
    <row r="53" spans="1:21" s="364" customFormat="1" hidden="1" outlineLevel="1" x14ac:dyDescent="0.25">
      <c r="A53" s="371"/>
      <c r="B53" s="371"/>
      <c r="C53" s="402" t="str">
        <f>IF($C$9="Mon Fourrage","",IF($C$9="Pâture","",IF($C$9="Foin",D52,IF($C$9="Paille","",IF($C$11="Maïs",P52,G52)))))</f>
        <v>Enrubanné (&gt; 45 % MS)</v>
      </c>
      <c r="D53" s="371" t="s">
        <v>41</v>
      </c>
      <c r="E53" s="371"/>
      <c r="F53" s="371"/>
      <c r="G53" s="371" t="s">
        <v>41</v>
      </c>
      <c r="H53" s="371"/>
      <c r="I53" s="371"/>
      <c r="J53" s="371"/>
      <c r="K53" s="371"/>
      <c r="L53" s="371" t="s">
        <v>36</v>
      </c>
      <c r="M53" s="371"/>
      <c r="N53" s="366"/>
      <c r="O53" s="366"/>
      <c r="P53" s="364" t="s">
        <v>150</v>
      </c>
    </row>
    <row r="54" spans="1:21" s="364" customFormat="1" hidden="1" outlineLevel="1" x14ac:dyDescent="0.25">
      <c r="A54" s="371"/>
      <c r="B54" s="371"/>
      <c r="C54" s="402" t="str">
        <f>IF($C$9="Mon Fourrage","",IF($C$9="Pâture","",IF($C$9="Foin",D53,IF($C$9="Paille","",IF($C$11="Maïs",P53,G53)))))</f>
        <v xml:space="preserve"> </v>
      </c>
      <c r="D54" s="371" t="s">
        <v>41</v>
      </c>
      <c r="E54" s="371"/>
      <c r="F54" s="371"/>
      <c r="G54" s="371" t="s">
        <v>41</v>
      </c>
      <c r="H54" s="371"/>
      <c r="I54" s="371"/>
      <c r="J54" s="371"/>
      <c r="K54" s="371"/>
      <c r="L54" s="371" t="s">
        <v>41</v>
      </c>
      <c r="M54" s="371"/>
      <c r="N54" s="366"/>
      <c r="O54" s="366"/>
      <c r="P54" s="364" t="s">
        <v>151</v>
      </c>
    </row>
    <row r="55" spans="1:21" s="216" customFormat="1" hidden="1" outlineLevel="1" x14ac:dyDescent="0.25">
      <c r="A55" s="85"/>
      <c r="B55" s="371"/>
      <c r="C55" s="402" t="str">
        <f>IF($C$9="Mon Fourrage","",IF($C$9="Pâture","",IF($C$9="Foin",D54,IF($C$9="Paille","",IF($C$11="Maïs",P54,G54)))))</f>
        <v xml:space="preserve"> </v>
      </c>
      <c r="D55" s="371" t="s">
        <v>41</v>
      </c>
      <c r="E55" s="371" t="s">
        <v>525</v>
      </c>
      <c r="F55" s="371"/>
      <c r="G55" s="371" t="s">
        <v>41</v>
      </c>
      <c r="H55" s="371"/>
      <c r="I55" s="371"/>
      <c r="J55" s="371"/>
      <c r="K55" s="371"/>
      <c r="L55" s="371" t="s">
        <v>41</v>
      </c>
      <c r="M55" s="371"/>
      <c r="N55" s="366"/>
      <c r="O55" s="366"/>
      <c r="P55" s="364" t="s">
        <v>41</v>
      </c>
      <c r="Q55" s="364"/>
      <c r="R55" s="364"/>
    </row>
    <row r="56" spans="1:21" s="216" customFormat="1" hidden="1" outlineLevel="1" x14ac:dyDescent="0.25">
      <c r="A56" s="85"/>
      <c r="B56" s="85"/>
      <c r="C56" s="402" t="str">
        <f>IF($C$9="Pâture","",IF($C$9="Foin",D55,IF($C$9="Paille","",IF($C$11="Maïs",P55,G55))))</f>
        <v xml:space="preserve"> </v>
      </c>
      <c r="D56" s="85"/>
      <c r="E56" s="371" t="s">
        <v>526</v>
      </c>
      <c r="F56" s="85"/>
      <c r="G56" s="85"/>
      <c r="H56" s="85"/>
      <c r="I56" s="85"/>
      <c r="J56" s="85"/>
      <c r="K56" s="85"/>
      <c r="L56" s="85"/>
      <c r="M56" s="85"/>
      <c r="N56" s="125"/>
      <c r="O56" s="125"/>
    </row>
    <row r="57" spans="1:21" hidden="1" outlineLevel="1" x14ac:dyDescent="0.25">
      <c r="A57" s="85"/>
      <c r="B57" s="85"/>
      <c r="C57" s="85"/>
      <c r="D57" s="85"/>
      <c r="E57" s="371" t="s">
        <v>527</v>
      </c>
      <c r="F57" s="85"/>
      <c r="G57" s="85"/>
      <c r="H57" s="85"/>
      <c r="I57" s="85"/>
      <c r="J57" s="85" t="str">
        <f>IF($C$23="mon fourrage",NOUVEAU!E22,IF($C$23="Paille",Q57,IF($C$23="Ensilage",L57,IF($C$23="Pâture",S57,O57))))</f>
        <v>Prairie naturelle</v>
      </c>
      <c r="K57" s="85"/>
      <c r="L57" s="85" t="s">
        <v>33</v>
      </c>
      <c r="M57" s="85"/>
      <c r="N57" s="125"/>
      <c r="O57" s="125" t="s">
        <v>33</v>
      </c>
      <c r="Q57" s="122" t="s">
        <v>51</v>
      </c>
      <c r="S57" s="1" t="s">
        <v>404</v>
      </c>
      <c r="U57" s="218" t="s">
        <v>405</v>
      </c>
    </row>
    <row r="58" spans="1:21" hidden="1" outlineLevel="1" x14ac:dyDescent="0.25">
      <c r="A58" s="85"/>
      <c r="B58" s="85"/>
      <c r="C58" s="85"/>
      <c r="D58" s="85"/>
      <c r="E58" s="85"/>
      <c r="F58" s="85"/>
      <c r="G58" s="85"/>
      <c r="H58" s="85"/>
      <c r="I58" s="85"/>
      <c r="J58" s="85" t="str">
        <f>IF($C$23="mon fourrage",NOUVEAU!E23,IF($C$23="Paille",Q58,IF($C$23="Ensilage",L58,IF($C$23="Pâture",S58,O58))))</f>
        <v>Fétuque élevée</v>
      </c>
      <c r="K58" s="85"/>
      <c r="L58" s="85" t="s">
        <v>255</v>
      </c>
      <c r="M58" s="85"/>
      <c r="N58" s="125"/>
      <c r="O58" s="125" t="s">
        <v>155</v>
      </c>
      <c r="Q58" s="122" t="s">
        <v>54</v>
      </c>
      <c r="S58" s="1" t="s">
        <v>259</v>
      </c>
      <c r="U58" s="218" t="s">
        <v>406</v>
      </c>
    </row>
    <row r="59" spans="1:21" hidden="1" outlineLevel="1" x14ac:dyDescent="0.25">
      <c r="A59" s="85"/>
      <c r="B59" s="85"/>
      <c r="C59" s="85"/>
      <c r="D59" s="85"/>
      <c r="E59" s="85" t="str">
        <f>IF($C$23="Mon Fourrage","",IF($C$23="Pâture","Déprimage",IF($C$23="Paille","",IF($C$25="Maïs","",L67))))</f>
        <v>1er cycle début épiaison (25/05)</v>
      </c>
      <c r="F59" s="85"/>
      <c r="G59" s="85"/>
      <c r="H59" s="85"/>
      <c r="I59" s="85"/>
      <c r="J59" s="85" t="str">
        <f>IF($C$23="mon fourrage",NOUVEAU!E24,IF($C$23="Paille",Q59,IF($C$23="Ensilage",L59,IF($C$23="Pâture",S59,O59))))</f>
        <v>Luzerne-Dactyle</v>
      </c>
      <c r="K59" s="85"/>
      <c r="L59" s="85" t="s">
        <v>35</v>
      </c>
      <c r="M59" s="85"/>
      <c r="N59" s="125"/>
      <c r="O59" s="125" t="s">
        <v>35</v>
      </c>
      <c r="Q59" s="122" t="s">
        <v>62</v>
      </c>
      <c r="S59" s="1" t="s">
        <v>418</v>
      </c>
      <c r="U59" s="218" t="s">
        <v>407</v>
      </c>
    </row>
    <row r="60" spans="1:21" hidden="1" outlineLevel="1" x14ac:dyDescent="0.25">
      <c r="A60" s="85"/>
      <c r="B60" s="85"/>
      <c r="C60" s="85" t="s">
        <v>24</v>
      </c>
      <c r="D60" s="85"/>
      <c r="E60" s="85" t="str">
        <f>IF($C$23="Mon Fourrage","",IF($C$23="Pâture","Printemps",IF($C$23="Paille","",IF($C$25="Maïs","",L68))))</f>
        <v>1er cycle  épaison (10/06)</v>
      </c>
      <c r="F60" s="85"/>
      <c r="G60" s="85"/>
      <c r="H60" s="85"/>
      <c r="I60" s="85"/>
      <c r="J60" s="85" t="str">
        <f>IF($C$23="mon fourrage",NOUVEAU!E25,IF($C$23="Paille",Q60,IF($C$23="Ensilage",L60,IF($C$23="Pâture",S60,O60))))</f>
        <v>Trèfle-Ray Grass</v>
      </c>
      <c r="K60" s="85"/>
      <c r="L60" s="85" t="s">
        <v>34</v>
      </c>
      <c r="M60" s="85"/>
      <c r="N60" s="125"/>
      <c r="O60" s="125" t="s">
        <v>34</v>
      </c>
      <c r="Q60" s="122" t="s">
        <v>58</v>
      </c>
      <c r="S60" s="1" t="s">
        <v>64</v>
      </c>
      <c r="U60" s="218" t="s">
        <v>408</v>
      </c>
    </row>
    <row r="61" spans="1:21" hidden="1" outlineLevel="1" x14ac:dyDescent="0.25">
      <c r="A61" s="85"/>
      <c r="B61" s="85"/>
      <c r="C61" s="85" t="s">
        <v>25</v>
      </c>
      <c r="D61" s="85"/>
      <c r="E61" s="85" t="str">
        <f>IF($C$23="Mon Fourrage","",IF($C$23="Pâture","Fin Printemps",IF($C$23="Paille","",IF($C$25="Maïs","",L69))))</f>
        <v>1er cycle début floraison (20/06)</v>
      </c>
      <c r="F61" s="85"/>
      <c r="G61" s="85"/>
      <c r="H61" s="85"/>
      <c r="I61" s="85"/>
      <c r="J61" s="85" t="str">
        <f>IF($C$23="mon fourrage",NOUVEAU!E26,IF($C$23="Paille",Q61,IF($C$23="Ensilage",L61,IF($C$23="Pâture",S61,O61))))</f>
        <v>Ray Grass Italien</v>
      </c>
      <c r="K61" s="85"/>
      <c r="L61" s="85" t="s">
        <v>149</v>
      </c>
      <c r="M61" s="85"/>
      <c r="N61" s="125"/>
      <c r="O61" s="125" t="s">
        <v>149</v>
      </c>
      <c r="Q61" s="122" t="s">
        <v>154</v>
      </c>
      <c r="S61" s="1" t="s">
        <v>260</v>
      </c>
      <c r="U61" s="216" t="s">
        <v>41</v>
      </c>
    </row>
    <row r="62" spans="1:21" hidden="1" outlineLevel="1" x14ac:dyDescent="0.25">
      <c r="A62" s="85"/>
      <c r="B62" s="85"/>
      <c r="C62" s="85" t="s">
        <v>26</v>
      </c>
      <c r="D62" s="85"/>
      <c r="E62" s="85" t="str">
        <f>IF($C$23="Mon Fourrage","",IF($C$23="Pâture","Repousse",IF($C$23="Paille","",IF($C$25="Maïs","",L70))))</f>
        <v>2ème cycle (regain)</v>
      </c>
      <c r="F62" s="85"/>
      <c r="G62" s="85"/>
      <c r="H62" s="85"/>
      <c r="I62" s="85"/>
      <c r="J62" s="85" t="str">
        <f>IF($C$23="mon fourrage",NOUVEAU!E27,IF($C$23="Paille",Q62,IF($C$23="Ensilage",L62,IF($C$23="Pâture",S62,O62))))</f>
        <v>Luzerne</v>
      </c>
      <c r="K62" s="85"/>
      <c r="L62" s="85" t="s">
        <v>256</v>
      </c>
      <c r="M62" s="85"/>
      <c r="N62" s="125"/>
      <c r="O62" s="125" t="s">
        <v>256</v>
      </c>
      <c r="P62" t="s">
        <v>41</v>
      </c>
      <c r="Q62" s="216" t="s">
        <v>41</v>
      </c>
      <c r="S62" s="1" t="s">
        <v>58</v>
      </c>
      <c r="U62" s="216" t="s">
        <v>41</v>
      </c>
    </row>
    <row r="63" spans="1:21" hidden="1" outlineLevel="1" x14ac:dyDescent="0.25">
      <c r="A63" s="85"/>
      <c r="B63" s="85"/>
      <c r="C63" s="85" t="s">
        <v>27</v>
      </c>
      <c r="D63" s="85"/>
      <c r="E63" s="85" t="str">
        <f>IF($C$23="Mon Fourrage","",IF($C$23="Pâture","Dérobé",IF($C$23="Paille","",IF($C$25="Maïs","",L71))))</f>
        <v xml:space="preserve"> </v>
      </c>
      <c r="F63" s="85"/>
      <c r="G63" s="85"/>
      <c r="H63" s="85"/>
      <c r="I63" s="85"/>
      <c r="J63" s="85" t="str">
        <f>IF($C$23="Paille",Q63,IF($C$23="Ensilage",L63,IF($C$23="Pâture",S63,O63)))</f>
        <v xml:space="preserve"> </v>
      </c>
      <c r="K63" s="85"/>
      <c r="L63" s="85" t="s">
        <v>39</v>
      </c>
      <c r="M63" s="85"/>
      <c r="N63" s="125"/>
      <c r="O63" s="125" t="s">
        <v>41</v>
      </c>
      <c r="Q63" s="216" t="s">
        <v>41</v>
      </c>
      <c r="S63" s="1" t="s">
        <v>261</v>
      </c>
      <c r="U63" s="216" t="s">
        <v>41</v>
      </c>
    </row>
    <row r="64" spans="1:21" s="216" customFormat="1" hidden="1" outlineLevel="1" x14ac:dyDescent="0.25">
      <c r="A64" s="85"/>
      <c r="B64" s="85"/>
      <c r="C64" s="371" t="s">
        <v>528</v>
      </c>
      <c r="D64" s="85"/>
      <c r="E64" s="85" t="str">
        <f>IF($C$23="Mon Fourrage","",IF($C$23="Pâture","",IF($C$23="Paille","",IF($C$25="Maïs","",L72))))</f>
        <v xml:space="preserve"> </v>
      </c>
      <c r="F64" s="85"/>
      <c r="G64" s="85"/>
      <c r="H64" s="85"/>
      <c r="I64" s="85"/>
      <c r="J64" s="85"/>
      <c r="K64" s="85"/>
      <c r="L64" s="85"/>
      <c r="M64" s="85"/>
      <c r="N64" s="125"/>
      <c r="O64" s="125"/>
      <c r="S64" s="1"/>
    </row>
    <row r="65" spans="1:19" s="216" customFormat="1" hidden="1" outlineLevel="1" x14ac:dyDescent="0.25">
      <c r="A65" s="85"/>
      <c r="B65" s="85"/>
      <c r="C65" s="85"/>
      <c r="D65" s="85"/>
      <c r="E65" s="85" t="str">
        <f>IF($C$23="Pâture","",IF($C$23="Paille","",IF($C$25="Maïs","",L73)))</f>
        <v xml:space="preserve"> </v>
      </c>
      <c r="F65" s="85"/>
      <c r="G65" s="85"/>
      <c r="H65" s="85"/>
      <c r="I65" s="85"/>
      <c r="J65" s="85"/>
      <c r="K65" s="85"/>
      <c r="L65" s="85"/>
      <c r="M65" s="85"/>
      <c r="N65" s="125"/>
      <c r="O65" s="125"/>
      <c r="S65" s="1"/>
    </row>
    <row r="66" spans="1:19" s="216" customFormat="1" hidden="1" outlineLevel="1" x14ac:dyDescent="0.2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125"/>
      <c r="O66" s="125"/>
      <c r="S66" s="1"/>
    </row>
    <row r="67" spans="1:19" hidden="1" outlineLevel="1" x14ac:dyDescent="0.25">
      <c r="A67" s="85"/>
      <c r="B67" s="85"/>
      <c r="C67" s="85"/>
      <c r="D67" s="85" t="s">
        <v>28</v>
      </c>
      <c r="E67" s="85"/>
      <c r="F67" s="85"/>
      <c r="G67" s="85" t="s">
        <v>29</v>
      </c>
      <c r="H67" s="85"/>
      <c r="I67" s="268"/>
      <c r="J67" s="85"/>
      <c r="K67" s="85"/>
      <c r="L67" s="722" t="s">
        <v>1281</v>
      </c>
      <c r="M67" s="85"/>
      <c r="N67" s="125"/>
      <c r="O67" s="125"/>
      <c r="P67" s="122" t="s">
        <v>153</v>
      </c>
    </row>
    <row r="68" spans="1:19" hidden="1" outlineLevel="1" x14ac:dyDescent="0.25">
      <c r="A68" s="85"/>
      <c r="B68" s="85"/>
      <c r="C68" s="85" t="str">
        <f>IF($C$23="Mon Fourrage","",IF($C$23="Pâture","",IF($C$23="Foin",D67,IF($C$23="Paille","",IF($C$25="Maïs",P67,G67)))))</f>
        <v>Ressuyage (25 % MS)</v>
      </c>
      <c r="D68" s="85" t="s">
        <v>147</v>
      </c>
      <c r="E68" s="85"/>
      <c r="F68" s="85"/>
      <c r="G68" s="85" t="s">
        <v>30</v>
      </c>
      <c r="H68" s="85"/>
      <c r="I68" s="85"/>
      <c r="J68" s="85"/>
      <c r="K68" s="85"/>
      <c r="L68" s="722" t="s">
        <v>1282</v>
      </c>
      <c r="M68" s="85"/>
      <c r="N68" s="125"/>
      <c r="O68" s="125"/>
      <c r="P68" s="216" t="s">
        <v>270</v>
      </c>
    </row>
    <row r="69" spans="1:19" hidden="1" outlineLevel="1" x14ac:dyDescent="0.25">
      <c r="A69" s="85"/>
      <c r="B69" s="85"/>
      <c r="C69" s="85" t="str">
        <f>IF($C$23="Mon Fourrage","",IF($C$23="Pâture","",IF($C$23="Foin",D68,IF($C$23="Paille","",IF($C$25="Maïs",P68,G68)))))</f>
        <v>Préfané (35 % MS)</v>
      </c>
      <c r="D69" s="85" t="s">
        <v>148</v>
      </c>
      <c r="E69" s="85"/>
      <c r="F69" s="85"/>
      <c r="G69" s="85" t="s">
        <v>31</v>
      </c>
      <c r="H69" s="85"/>
      <c r="I69" s="85"/>
      <c r="J69" s="85"/>
      <c r="K69" s="85"/>
      <c r="L69" s="722" t="s">
        <v>1283</v>
      </c>
      <c r="M69" s="85"/>
      <c r="N69" s="125"/>
      <c r="O69" s="125"/>
      <c r="P69" s="122" t="s">
        <v>152</v>
      </c>
    </row>
    <row r="70" spans="1:19" hidden="1" outlineLevel="1" x14ac:dyDescent="0.25">
      <c r="A70" s="85"/>
      <c r="B70" s="85"/>
      <c r="C70" s="85" t="str">
        <f>IF($C$23="Mon Fourrage","",IF($C$23="Pâture","",IF($C$23="Foin",D69,IF($C$23="Paille","",IF($C$25="Maïs",P69,G69)))))</f>
        <v>Enrubanné (&gt; 45 % MS)</v>
      </c>
      <c r="D70" s="85" t="s">
        <v>41</v>
      </c>
      <c r="E70" s="85"/>
      <c r="F70" s="85"/>
      <c r="G70" s="85" t="s">
        <v>41</v>
      </c>
      <c r="H70" s="85"/>
      <c r="I70" s="85"/>
      <c r="J70" s="85"/>
      <c r="K70" s="85"/>
      <c r="L70" s="722" t="s">
        <v>36</v>
      </c>
      <c r="M70" s="85"/>
      <c r="N70" s="125"/>
      <c r="O70" s="125"/>
      <c r="P70" s="122" t="s">
        <v>150</v>
      </c>
    </row>
    <row r="71" spans="1:19" hidden="1" outlineLevel="1" x14ac:dyDescent="0.25">
      <c r="A71" s="85"/>
      <c r="B71" s="85"/>
      <c r="C71" s="85" t="str">
        <f>IF($C$23="Mon Fourrage","",IF($C$23="Pâture","",IF($C$23="Foin",D70,IF($C$23="Paille","",IF($C$25="Maïs",P70,G70)))))</f>
        <v xml:space="preserve"> </v>
      </c>
      <c r="D71" s="85" t="s">
        <v>41</v>
      </c>
      <c r="E71" s="85"/>
      <c r="F71" s="85"/>
      <c r="G71" s="85" t="s">
        <v>41</v>
      </c>
      <c r="H71" s="85"/>
      <c r="I71" s="85"/>
      <c r="J71" s="85"/>
      <c r="K71" s="85"/>
      <c r="L71" s="85" t="s">
        <v>41</v>
      </c>
      <c r="M71" s="85"/>
      <c r="N71" s="125"/>
      <c r="O71" s="125"/>
      <c r="P71" s="122" t="s">
        <v>151</v>
      </c>
    </row>
    <row r="72" spans="1:19" hidden="1" outlineLevel="1" x14ac:dyDescent="0.25">
      <c r="A72" s="85"/>
      <c r="B72" s="85"/>
      <c r="C72" s="85" t="str">
        <f>IF($C$23="Mon Fourrage","",IF($C$23="Pâture","",IF($C$23="Foin",D71,IF($C$23="Paille","",IF($C$25="Maïs",P71,G71)))))</f>
        <v xml:space="preserve"> </v>
      </c>
      <c r="D72" s="85" t="s">
        <v>41</v>
      </c>
      <c r="E72" s="85"/>
      <c r="F72" s="85"/>
      <c r="G72" s="85" t="s">
        <v>41</v>
      </c>
      <c r="H72" s="85"/>
      <c r="I72" s="85"/>
      <c r="J72" s="85"/>
      <c r="K72" s="85"/>
      <c r="L72" s="85" t="s">
        <v>41</v>
      </c>
      <c r="M72" s="85"/>
      <c r="N72" s="125"/>
      <c r="O72" s="125"/>
      <c r="P72" s="216" t="s">
        <v>41</v>
      </c>
    </row>
    <row r="73" spans="1:19" hidden="1" outlineLevel="1" x14ac:dyDescent="0.25">
      <c r="A73" s="85"/>
      <c r="B73" s="85"/>
      <c r="C73" s="85"/>
      <c r="D73" s="85" t="s">
        <v>41</v>
      </c>
      <c r="E73" s="85"/>
      <c r="F73" s="85"/>
      <c r="G73" s="85" t="s">
        <v>41</v>
      </c>
      <c r="H73" s="85"/>
      <c r="I73" s="85"/>
      <c r="J73" s="85"/>
      <c r="K73" s="85"/>
      <c r="L73" s="85" t="s">
        <v>41</v>
      </c>
      <c r="M73" s="85"/>
      <c r="N73" s="125"/>
      <c r="O73" s="125"/>
      <c r="P73" s="216" t="s">
        <v>41</v>
      </c>
    </row>
    <row r="74" spans="1:19" hidden="1" outlineLevel="1" x14ac:dyDescent="0.2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 t="s">
        <v>41</v>
      </c>
      <c r="M74" s="85"/>
      <c r="N74" s="125"/>
      <c r="O74" s="125"/>
    </row>
    <row r="75" spans="1:19" hidden="1" outlineLevel="1" x14ac:dyDescent="0.2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125"/>
      <c r="O75" s="125"/>
    </row>
    <row r="76" spans="1:19" hidden="1" outlineLevel="1" x14ac:dyDescent="0.2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125"/>
      <c r="O76" s="125"/>
    </row>
    <row r="77" spans="1:19" ht="18" hidden="1" outlineLevel="1" x14ac:dyDescent="0.25">
      <c r="A77" s="85"/>
      <c r="B77" s="85"/>
      <c r="C77" s="272"/>
      <c r="D77" s="273" t="s">
        <v>118</v>
      </c>
      <c r="E77" s="273" t="s">
        <v>2</v>
      </c>
      <c r="F77" s="273" t="s">
        <v>253</v>
      </c>
      <c r="G77" s="273" t="s">
        <v>0</v>
      </c>
      <c r="H77" s="273" t="s">
        <v>254</v>
      </c>
      <c r="I77" s="273" t="s">
        <v>82</v>
      </c>
      <c r="J77" s="273" t="s">
        <v>83</v>
      </c>
      <c r="K77" s="273" t="s">
        <v>16</v>
      </c>
      <c r="L77" s="273" t="s">
        <v>17</v>
      </c>
      <c r="M77" s="221"/>
      <c r="N77" s="125"/>
      <c r="O77" s="125"/>
    </row>
    <row r="78" spans="1:19" hidden="1" outlineLevel="1" x14ac:dyDescent="0.25">
      <c r="A78" s="85"/>
      <c r="B78" s="210"/>
      <c r="C78" s="474" t="s">
        <v>1199</v>
      </c>
      <c r="D78" s="478">
        <v>13</v>
      </c>
      <c r="E78" s="476">
        <v>0.91</v>
      </c>
      <c r="F78" s="475">
        <v>1.2</v>
      </c>
      <c r="G78" s="476">
        <v>1.1499999999999999</v>
      </c>
      <c r="H78" s="475">
        <v>1.1599999999999999</v>
      </c>
      <c r="I78" s="475">
        <v>62</v>
      </c>
      <c r="J78" s="475">
        <v>86</v>
      </c>
      <c r="K78" s="477">
        <v>1.1000000000000001</v>
      </c>
      <c r="L78" s="477">
        <v>0.5</v>
      </c>
      <c r="M78" s="474"/>
      <c r="N78" s="125"/>
      <c r="O78" s="125"/>
    </row>
    <row r="79" spans="1:19" hidden="1" outlineLevel="1" x14ac:dyDescent="0.25">
      <c r="A79" s="85"/>
      <c r="B79" s="219"/>
      <c r="C79" s="221" t="s">
        <v>278</v>
      </c>
      <c r="D79" s="274">
        <v>55</v>
      </c>
      <c r="E79" s="206">
        <v>1.53</v>
      </c>
      <c r="F79" s="206">
        <v>1.26</v>
      </c>
      <c r="G79" s="206">
        <v>0.67</v>
      </c>
      <c r="H79" s="206">
        <v>0.59</v>
      </c>
      <c r="I79" s="274">
        <v>66</v>
      </c>
      <c r="J79" s="274">
        <v>68</v>
      </c>
      <c r="K79" s="275">
        <v>1.4</v>
      </c>
      <c r="L79" s="275">
        <v>1.3</v>
      </c>
      <c r="M79" s="221">
        <v>27</v>
      </c>
      <c r="N79" s="125"/>
      <c r="O79" s="125"/>
    </row>
    <row r="80" spans="1:19" hidden="1" outlineLevel="1" x14ac:dyDescent="0.25">
      <c r="A80" s="85"/>
      <c r="B80" s="219"/>
      <c r="C80" s="221" t="s">
        <v>277</v>
      </c>
      <c r="D80" s="274">
        <v>55</v>
      </c>
      <c r="E80" s="206">
        <v>1.41</v>
      </c>
      <c r="F80" s="206">
        <v>1.1399999999999999</v>
      </c>
      <c r="G80" s="206">
        <v>0.73</v>
      </c>
      <c r="H80" s="206">
        <v>0.65</v>
      </c>
      <c r="I80" s="510">
        <v>82</v>
      </c>
      <c r="J80" s="510">
        <v>75</v>
      </c>
      <c r="K80" s="275">
        <v>1.6</v>
      </c>
      <c r="L80" s="275">
        <v>1.3</v>
      </c>
      <c r="M80" s="221">
        <v>26</v>
      </c>
      <c r="N80" s="125"/>
      <c r="O80" s="125"/>
    </row>
    <row r="81" spans="1:15" hidden="1" outlineLevel="1" x14ac:dyDescent="0.25">
      <c r="A81" s="85"/>
      <c r="B81" s="219"/>
      <c r="C81" s="221" t="s">
        <v>292</v>
      </c>
      <c r="D81" s="274" t="s">
        <v>238</v>
      </c>
      <c r="E81" s="206" t="s">
        <v>238</v>
      </c>
      <c r="F81" s="206" t="s">
        <v>238</v>
      </c>
      <c r="G81" s="206" t="s">
        <v>238</v>
      </c>
      <c r="H81" s="206" t="s">
        <v>238</v>
      </c>
      <c r="I81" s="512" t="s">
        <v>238</v>
      </c>
      <c r="J81" s="512" t="s">
        <v>238</v>
      </c>
      <c r="K81" s="512" t="s">
        <v>238</v>
      </c>
      <c r="L81" s="512" t="s">
        <v>238</v>
      </c>
      <c r="M81" s="221">
        <v>28</v>
      </c>
      <c r="N81" s="125"/>
      <c r="O81" s="125"/>
    </row>
    <row r="82" spans="1:15" hidden="1" outlineLevel="1" x14ac:dyDescent="0.25">
      <c r="A82" s="85"/>
      <c r="B82" s="219"/>
      <c r="C82" s="221" t="s">
        <v>279</v>
      </c>
      <c r="D82" s="274">
        <v>55</v>
      </c>
      <c r="E82" s="206">
        <v>1.4</v>
      </c>
      <c r="F82" s="206">
        <v>1.1299999999999999</v>
      </c>
      <c r="G82" s="206">
        <v>0.71</v>
      </c>
      <c r="H82" s="206">
        <v>0.63</v>
      </c>
      <c r="I82" s="274">
        <v>85</v>
      </c>
      <c r="J82" s="274">
        <v>77</v>
      </c>
      <c r="K82" s="275">
        <v>1.8</v>
      </c>
      <c r="L82" s="275">
        <v>1.8</v>
      </c>
      <c r="M82" s="221">
        <v>29</v>
      </c>
      <c r="N82" s="125"/>
      <c r="O82" s="125"/>
    </row>
    <row r="83" spans="1:15" hidden="1" outlineLevel="1" x14ac:dyDescent="0.25">
      <c r="A83" s="85"/>
      <c r="B83" s="210"/>
      <c r="C83" s="221" t="s">
        <v>275</v>
      </c>
      <c r="D83" s="274">
        <v>33</v>
      </c>
      <c r="E83" s="206">
        <v>1.76</v>
      </c>
      <c r="F83" s="206">
        <v>1.23</v>
      </c>
      <c r="G83" s="206">
        <v>0.67</v>
      </c>
      <c r="H83" s="206">
        <v>0.57999999999999996</v>
      </c>
      <c r="I83" s="274">
        <v>69</v>
      </c>
      <c r="J83" s="274">
        <v>58</v>
      </c>
      <c r="K83" s="275">
        <v>1.4</v>
      </c>
      <c r="L83" s="275">
        <v>1.3</v>
      </c>
      <c r="M83" s="221">
        <v>23</v>
      </c>
      <c r="N83" s="125"/>
      <c r="O83" s="125"/>
    </row>
    <row r="84" spans="1:15" hidden="1" outlineLevel="1" x14ac:dyDescent="0.25">
      <c r="A84" s="85"/>
      <c r="B84" s="219"/>
      <c r="C84" s="221" t="s">
        <v>274</v>
      </c>
      <c r="D84" s="274">
        <v>33</v>
      </c>
      <c r="E84" s="206">
        <v>1.48</v>
      </c>
      <c r="F84" s="206">
        <v>1.1299999999999999</v>
      </c>
      <c r="G84" s="206">
        <v>0.73</v>
      </c>
      <c r="H84" s="206">
        <v>0.65</v>
      </c>
      <c r="I84" s="510">
        <v>83</v>
      </c>
      <c r="J84" s="510">
        <v>63</v>
      </c>
      <c r="K84" s="275">
        <v>1.6</v>
      </c>
      <c r="L84" s="275">
        <v>1.3</v>
      </c>
      <c r="M84" s="221">
        <v>22</v>
      </c>
      <c r="N84" s="125"/>
      <c r="O84" s="125"/>
    </row>
    <row r="85" spans="1:15" s="216" customFormat="1" hidden="1" outlineLevel="1" x14ac:dyDescent="0.25">
      <c r="A85" s="85"/>
      <c r="B85" s="219"/>
      <c r="C85" s="221" t="s">
        <v>291</v>
      </c>
      <c r="D85" s="274" t="s">
        <v>238</v>
      </c>
      <c r="E85" s="206" t="s">
        <v>238</v>
      </c>
      <c r="F85" s="206" t="s">
        <v>238</v>
      </c>
      <c r="G85" s="206" t="s">
        <v>238</v>
      </c>
      <c r="H85" s="206" t="s">
        <v>238</v>
      </c>
      <c r="I85" s="512" t="s">
        <v>238</v>
      </c>
      <c r="J85" s="512" t="s">
        <v>238</v>
      </c>
      <c r="K85" s="512" t="s">
        <v>238</v>
      </c>
      <c r="L85" s="512" t="s">
        <v>238</v>
      </c>
      <c r="M85" s="221">
        <v>24</v>
      </c>
      <c r="N85" s="125"/>
      <c r="O85" s="125"/>
    </row>
    <row r="86" spans="1:15" hidden="1" outlineLevel="1" x14ac:dyDescent="0.25">
      <c r="A86" s="85"/>
      <c r="B86" s="219"/>
      <c r="C86" s="221" t="s">
        <v>276</v>
      </c>
      <c r="D86" s="274">
        <v>33</v>
      </c>
      <c r="E86" s="206">
        <v>1.46</v>
      </c>
      <c r="F86" s="206">
        <v>1.1200000000000001</v>
      </c>
      <c r="G86" s="206">
        <v>0.72</v>
      </c>
      <c r="H86" s="206">
        <v>0.64</v>
      </c>
      <c r="I86" s="274">
        <v>85</v>
      </c>
      <c r="J86" s="274">
        <v>64</v>
      </c>
      <c r="K86" s="275">
        <v>1.8</v>
      </c>
      <c r="L86" s="275">
        <v>1.8</v>
      </c>
      <c r="M86" s="221">
        <v>25</v>
      </c>
      <c r="N86" s="125"/>
      <c r="O86" s="125"/>
    </row>
    <row r="87" spans="1:15" hidden="1" outlineLevel="1" x14ac:dyDescent="0.25">
      <c r="A87" s="85"/>
      <c r="B87" s="219"/>
      <c r="C87" s="221" t="s">
        <v>272</v>
      </c>
      <c r="D87" s="274">
        <v>21</v>
      </c>
      <c r="E87" s="206">
        <v>1.48</v>
      </c>
      <c r="F87" s="206">
        <v>1.4</v>
      </c>
      <c r="G87" s="206">
        <v>0.73</v>
      </c>
      <c r="H87" s="206">
        <v>0.64</v>
      </c>
      <c r="I87" s="274">
        <v>65</v>
      </c>
      <c r="J87" s="274">
        <v>49</v>
      </c>
      <c r="K87" s="275">
        <v>1.4</v>
      </c>
      <c r="L87" s="275">
        <v>1.3</v>
      </c>
      <c r="M87" s="221">
        <v>19</v>
      </c>
      <c r="N87" s="125"/>
      <c r="O87" s="125"/>
    </row>
    <row r="88" spans="1:15" hidden="1" outlineLevel="1" x14ac:dyDescent="0.25">
      <c r="A88" s="85"/>
      <c r="B88" s="219"/>
      <c r="C88" s="221" t="s">
        <v>271</v>
      </c>
      <c r="D88" s="274">
        <v>21</v>
      </c>
      <c r="E88" s="206">
        <v>1.39</v>
      </c>
      <c r="F88" s="206">
        <v>1.31</v>
      </c>
      <c r="G88" s="206">
        <v>0.79</v>
      </c>
      <c r="H88" s="206">
        <v>0.72</v>
      </c>
      <c r="I88" s="510">
        <v>78</v>
      </c>
      <c r="J88" s="510">
        <v>53</v>
      </c>
      <c r="K88" s="275">
        <v>1.6</v>
      </c>
      <c r="L88" s="275">
        <v>1.3</v>
      </c>
      <c r="M88" s="221">
        <v>18</v>
      </c>
      <c r="N88" s="125"/>
      <c r="O88" s="125"/>
    </row>
    <row r="89" spans="1:15" s="216" customFormat="1" hidden="1" outlineLevel="1" x14ac:dyDescent="0.25">
      <c r="A89" s="85"/>
      <c r="B89" s="219"/>
      <c r="C89" s="221" t="s">
        <v>290</v>
      </c>
      <c r="D89" s="274" t="s">
        <v>238</v>
      </c>
      <c r="E89" s="206" t="s">
        <v>238</v>
      </c>
      <c r="F89" s="206" t="s">
        <v>238</v>
      </c>
      <c r="G89" s="206" t="s">
        <v>238</v>
      </c>
      <c r="H89" s="206" t="s">
        <v>238</v>
      </c>
      <c r="I89" s="512" t="s">
        <v>238</v>
      </c>
      <c r="J89" s="512" t="s">
        <v>238</v>
      </c>
      <c r="K89" s="512" t="s">
        <v>238</v>
      </c>
      <c r="L89" s="512" t="s">
        <v>238</v>
      </c>
      <c r="M89" s="221">
        <v>20</v>
      </c>
      <c r="N89" s="125"/>
      <c r="O89" s="125"/>
    </row>
    <row r="90" spans="1:15" hidden="1" outlineLevel="1" x14ac:dyDescent="0.25">
      <c r="A90" s="85"/>
      <c r="B90" s="219"/>
      <c r="C90" s="221" t="s">
        <v>273</v>
      </c>
      <c r="D90" s="510">
        <v>21</v>
      </c>
      <c r="E90" s="512">
        <v>1.38</v>
      </c>
      <c r="F90" s="512">
        <v>1.26</v>
      </c>
      <c r="G90" s="512">
        <v>0.78</v>
      </c>
      <c r="H90" s="512">
        <v>0.7</v>
      </c>
      <c r="I90" s="510">
        <v>81</v>
      </c>
      <c r="J90" s="510">
        <v>55</v>
      </c>
      <c r="K90" s="275">
        <v>1.8</v>
      </c>
      <c r="L90" s="275">
        <v>1.8</v>
      </c>
      <c r="M90" s="221">
        <v>21</v>
      </c>
      <c r="N90" s="125"/>
      <c r="O90" s="125"/>
    </row>
    <row r="91" spans="1:15" hidden="1" outlineLevel="1" x14ac:dyDescent="0.25">
      <c r="A91" s="85"/>
      <c r="B91" s="219"/>
      <c r="C91" s="221" t="s">
        <v>329</v>
      </c>
      <c r="D91" s="202">
        <v>55</v>
      </c>
      <c r="E91" s="203">
        <v>1.2</v>
      </c>
      <c r="F91" s="203">
        <v>1.07</v>
      </c>
      <c r="G91" s="203">
        <v>0.67</v>
      </c>
      <c r="H91" s="203">
        <v>0.56999999999999995</v>
      </c>
      <c r="I91" s="202">
        <v>105</v>
      </c>
      <c r="J91" s="202">
        <v>75</v>
      </c>
      <c r="K91" s="204">
        <v>1.7</v>
      </c>
      <c r="L91" s="204">
        <v>3.8</v>
      </c>
      <c r="M91" s="221">
        <v>75</v>
      </c>
      <c r="N91" s="125"/>
      <c r="O91" s="125"/>
    </row>
    <row r="92" spans="1:15" hidden="1" outlineLevel="1" x14ac:dyDescent="0.25">
      <c r="A92" s="85"/>
      <c r="B92" s="219"/>
      <c r="C92" s="221" t="s">
        <v>328</v>
      </c>
      <c r="D92" s="202">
        <v>55</v>
      </c>
      <c r="E92" s="203">
        <v>1.19</v>
      </c>
      <c r="F92" s="203">
        <v>1.07</v>
      </c>
      <c r="G92" s="203">
        <v>0.71</v>
      </c>
      <c r="H92" s="203">
        <v>0.62</v>
      </c>
      <c r="I92" s="202">
        <v>113</v>
      </c>
      <c r="J92" s="202">
        <v>79</v>
      </c>
      <c r="K92" s="204">
        <v>1.7</v>
      </c>
      <c r="L92" s="204">
        <v>3.8</v>
      </c>
      <c r="M92" s="221">
        <v>74</v>
      </c>
      <c r="N92" s="125"/>
      <c r="O92" s="125"/>
    </row>
    <row r="93" spans="1:15" s="216" customFormat="1" hidden="1" outlineLevel="1" x14ac:dyDescent="0.25">
      <c r="A93" s="85"/>
      <c r="B93" s="219"/>
      <c r="C93" s="221" t="s">
        <v>330</v>
      </c>
      <c r="D93" s="202" t="s">
        <v>238</v>
      </c>
      <c r="E93" s="202" t="s">
        <v>238</v>
      </c>
      <c r="F93" s="202" t="s">
        <v>238</v>
      </c>
      <c r="G93" s="202" t="s">
        <v>238</v>
      </c>
      <c r="H93" s="202" t="s">
        <v>238</v>
      </c>
      <c r="I93" s="202" t="s">
        <v>238</v>
      </c>
      <c r="J93" s="202" t="s">
        <v>238</v>
      </c>
      <c r="K93" s="202" t="s">
        <v>238</v>
      </c>
      <c r="L93" s="202" t="s">
        <v>238</v>
      </c>
      <c r="M93" s="221">
        <v>76</v>
      </c>
      <c r="N93" s="125"/>
      <c r="O93" s="125"/>
    </row>
    <row r="94" spans="1:15" hidden="1" outlineLevel="1" x14ac:dyDescent="0.25">
      <c r="A94" s="85"/>
      <c r="B94" s="219"/>
      <c r="C94" s="221" t="s">
        <v>331</v>
      </c>
      <c r="D94" s="202">
        <v>55</v>
      </c>
      <c r="E94" s="203">
        <v>1.17</v>
      </c>
      <c r="F94" s="203">
        <v>1.08</v>
      </c>
      <c r="G94" s="203">
        <v>0.7</v>
      </c>
      <c r="H94" s="203">
        <v>0.61</v>
      </c>
      <c r="I94" s="202">
        <v>114</v>
      </c>
      <c r="J94" s="202">
        <v>77</v>
      </c>
      <c r="K94" s="204">
        <v>1.5</v>
      </c>
      <c r="L94" s="204">
        <v>3.6</v>
      </c>
      <c r="M94" s="221">
        <v>77</v>
      </c>
      <c r="N94" s="125"/>
      <c r="O94" s="125"/>
    </row>
    <row r="95" spans="1:15" hidden="1" outlineLevel="1" x14ac:dyDescent="0.25">
      <c r="A95" s="85"/>
      <c r="B95" s="210"/>
      <c r="C95" s="221" t="s">
        <v>325</v>
      </c>
      <c r="D95" s="202" t="s">
        <v>238</v>
      </c>
      <c r="E95" s="202" t="s">
        <v>238</v>
      </c>
      <c r="F95" s="202" t="s">
        <v>238</v>
      </c>
      <c r="G95" s="202" t="s">
        <v>238</v>
      </c>
      <c r="H95" s="202" t="s">
        <v>238</v>
      </c>
      <c r="I95" s="202" t="s">
        <v>238</v>
      </c>
      <c r="J95" s="202" t="s">
        <v>238</v>
      </c>
      <c r="K95" s="202" t="s">
        <v>238</v>
      </c>
      <c r="L95" s="202" t="s">
        <v>238</v>
      </c>
      <c r="M95" s="221">
        <v>71</v>
      </c>
      <c r="N95" s="125"/>
      <c r="O95" s="125"/>
    </row>
    <row r="96" spans="1:15" hidden="1" outlineLevel="1" x14ac:dyDescent="0.25">
      <c r="A96" s="85"/>
      <c r="B96" s="219"/>
      <c r="C96" s="221" t="s">
        <v>324</v>
      </c>
      <c r="D96" s="202" t="s">
        <v>238</v>
      </c>
      <c r="E96" s="202" t="s">
        <v>238</v>
      </c>
      <c r="F96" s="202" t="s">
        <v>238</v>
      </c>
      <c r="G96" s="202" t="s">
        <v>238</v>
      </c>
      <c r="H96" s="202" t="s">
        <v>238</v>
      </c>
      <c r="I96" s="202" t="s">
        <v>238</v>
      </c>
      <c r="J96" s="202" t="s">
        <v>238</v>
      </c>
      <c r="K96" s="202" t="s">
        <v>238</v>
      </c>
      <c r="L96" s="202" t="s">
        <v>238</v>
      </c>
      <c r="M96" s="221">
        <v>70</v>
      </c>
      <c r="N96" s="125"/>
      <c r="O96" s="125"/>
    </row>
    <row r="97" spans="1:15" s="216" customFormat="1" hidden="1" outlineLevel="1" x14ac:dyDescent="0.25">
      <c r="A97" s="85"/>
      <c r="B97" s="219"/>
      <c r="C97" s="221" t="s">
        <v>326</v>
      </c>
      <c r="D97" s="202" t="s">
        <v>238</v>
      </c>
      <c r="E97" s="202" t="s">
        <v>238</v>
      </c>
      <c r="F97" s="202" t="s">
        <v>238</v>
      </c>
      <c r="G97" s="202" t="s">
        <v>238</v>
      </c>
      <c r="H97" s="202" t="s">
        <v>238</v>
      </c>
      <c r="I97" s="202" t="s">
        <v>238</v>
      </c>
      <c r="J97" s="202" t="s">
        <v>238</v>
      </c>
      <c r="K97" s="202" t="s">
        <v>238</v>
      </c>
      <c r="L97" s="202" t="s">
        <v>238</v>
      </c>
      <c r="M97" s="221">
        <v>72</v>
      </c>
      <c r="N97" s="125"/>
      <c r="O97" s="125"/>
    </row>
    <row r="98" spans="1:15" hidden="1" outlineLevel="1" x14ac:dyDescent="0.25">
      <c r="A98" s="85"/>
      <c r="B98" s="219"/>
      <c r="C98" s="221" t="s">
        <v>327</v>
      </c>
      <c r="D98" s="202" t="s">
        <v>238</v>
      </c>
      <c r="E98" s="202" t="s">
        <v>238</v>
      </c>
      <c r="F98" s="202" t="s">
        <v>238</v>
      </c>
      <c r="G98" s="202" t="s">
        <v>238</v>
      </c>
      <c r="H98" s="202" t="s">
        <v>238</v>
      </c>
      <c r="I98" s="202" t="s">
        <v>238</v>
      </c>
      <c r="J98" s="202" t="s">
        <v>238</v>
      </c>
      <c r="K98" s="202" t="s">
        <v>238</v>
      </c>
      <c r="L98" s="202" t="s">
        <v>238</v>
      </c>
      <c r="M98" s="221">
        <v>73</v>
      </c>
      <c r="N98" s="125"/>
      <c r="O98" s="125"/>
    </row>
    <row r="99" spans="1:15" hidden="1" outlineLevel="1" x14ac:dyDescent="0.25">
      <c r="A99" s="85"/>
      <c r="B99" s="219"/>
      <c r="C99" s="221" t="s">
        <v>321</v>
      </c>
      <c r="D99" s="202" t="s">
        <v>238</v>
      </c>
      <c r="E99" s="202" t="s">
        <v>238</v>
      </c>
      <c r="F99" s="202" t="s">
        <v>238</v>
      </c>
      <c r="G99" s="202" t="s">
        <v>238</v>
      </c>
      <c r="H99" s="202" t="s">
        <v>238</v>
      </c>
      <c r="I99" s="202" t="s">
        <v>238</v>
      </c>
      <c r="J99" s="202" t="s">
        <v>238</v>
      </c>
      <c r="K99" s="202" t="s">
        <v>238</v>
      </c>
      <c r="L99" s="202" t="s">
        <v>238</v>
      </c>
      <c r="M99" s="221">
        <v>67</v>
      </c>
      <c r="N99" s="125"/>
      <c r="O99" s="125"/>
    </row>
    <row r="100" spans="1:15" hidden="1" outlineLevel="1" x14ac:dyDescent="0.25">
      <c r="A100" s="85"/>
      <c r="B100" s="219"/>
      <c r="C100" s="221" t="s">
        <v>320</v>
      </c>
      <c r="D100" s="202" t="s">
        <v>238</v>
      </c>
      <c r="E100" s="202" t="s">
        <v>238</v>
      </c>
      <c r="F100" s="202" t="s">
        <v>238</v>
      </c>
      <c r="G100" s="202" t="s">
        <v>238</v>
      </c>
      <c r="H100" s="202" t="s">
        <v>238</v>
      </c>
      <c r="I100" s="202" t="s">
        <v>238</v>
      </c>
      <c r="J100" s="202" t="s">
        <v>238</v>
      </c>
      <c r="K100" s="202" t="s">
        <v>238</v>
      </c>
      <c r="L100" s="202" t="s">
        <v>238</v>
      </c>
      <c r="M100" s="221">
        <v>66</v>
      </c>
      <c r="N100" s="125"/>
      <c r="O100" s="125"/>
    </row>
    <row r="101" spans="1:15" s="216" customFormat="1" hidden="1" outlineLevel="1" x14ac:dyDescent="0.25">
      <c r="A101" s="85"/>
      <c r="B101" s="219"/>
      <c r="C101" s="221" t="s">
        <v>322</v>
      </c>
      <c r="D101" s="202" t="s">
        <v>238</v>
      </c>
      <c r="E101" s="202" t="s">
        <v>238</v>
      </c>
      <c r="F101" s="202" t="s">
        <v>238</v>
      </c>
      <c r="G101" s="202" t="s">
        <v>238</v>
      </c>
      <c r="H101" s="202" t="s">
        <v>238</v>
      </c>
      <c r="I101" s="202" t="s">
        <v>238</v>
      </c>
      <c r="J101" s="202" t="s">
        <v>238</v>
      </c>
      <c r="K101" s="202" t="s">
        <v>238</v>
      </c>
      <c r="L101" s="202" t="s">
        <v>238</v>
      </c>
      <c r="M101" s="221">
        <v>68</v>
      </c>
      <c r="N101" s="125"/>
      <c r="O101" s="125"/>
    </row>
    <row r="102" spans="1:15" hidden="1" outlineLevel="1" x14ac:dyDescent="0.25">
      <c r="A102" s="85"/>
      <c r="B102" s="219"/>
      <c r="C102" s="221" t="s">
        <v>323</v>
      </c>
      <c r="D102" s="202" t="s">
        <v>238</v>
      </c>
      <c r="E102" s="202" t="s">
        <v>238</v>
      </c>
      <c r="F102" s="202" t="s">
        <v>238</v>
      </c>
      <c r="G102" s="202" t="s">
        <v>238</v>
      </c>
      <c r="H102" s="202" t="s">
        <v>238</v>
      </c>
      <c r="I102" s="202" t="s">
        <v>238</v>
      </c>
      <c r="J102" s="202" t="s">
        <v>238</v>
      </c>
      <c r="K102" s="202" t="s">
        <v>238</v>
      </c>
      <c r="L102" s="202" t="s">
        <v>238</v>
      </c>
      <c r="M102" s="221">
        <v>69</v>
      </c>
      <c r="N102" s="125"/>
      <c r="O102" s="125"/>
    </row>
    <row r="103" spans="1:15" hidden="1" outlineLevel="1" x14ac:dyDescent="0.25">
      <c r="A103" s="85"/>
      <c r="B103" s="219"/>
      <c r="C103" s="221" t="s">
        <v>287</v>
      </c>
      <c r="D103" s="274">
        <v>55</v>
      </c>
      <c r="E103" s="206">
        <v>1.37</v>
      </c>
      <c r="F103" s="206">
        <v>1.1599999999999999</v>
      </c>
      <c r="G103" s="206">
        <v>0.69</v>
      </c>
      <c r="H103" s="206">
        <v>0.6</v>
      </c>
      <c r="I103" s="274">
        <v>91</v>
      </c>
      <c r="J103" s="274">
        <v>74</v>
      </c>
      <c r="K103" s="275">
        <v>1.5</v>
      </c>
      <c r="L103" s="275">
        <v>2.4</v>
      </c>
      <c r="M103" s="221">
        <v>39</v>
      </c>
      <c r="N103" s="125"/>
      <c r="O103" s="125"/>
    </row>
    <row r="104" spans="1:15" hidden="1" outlineLevel="1" x14ac:dyDescent="0.25">
      <c r="A104" s="85"/>
      <c r="B104" s="219"/>
      <c r="C104" s="221" t="s">
        <v>286</v>
      </c>
      <c r="D104" s="274">
        <v>55</v>
      </c>
      <c r="E104" s="206">
        <v>1.26</v>
      </c>
      <c r="F104" s="206">
        <v>1.07</v>
      </c>
      <c r="G104" s="206">
        <v>0.76</v>
      </c>
      <c r="H104" s="206">
        <v>0.68</v>
      </c>
      <c r="I104" s="510">
        <v>107</v>
      </c>
      <c r="J104" s="510">
        <v>82</v>
      </c>
      <c r="K104" s="275">
        <v>1.5</v>
      </c>
      <c r="L104" s="275">
        <v>2.4</v>
      </c>
      <c r="M104" s="221">
        <v>38</v>
      </c>
      <c r="N104" s="125"/>
      <c r="O104" s="125"/>
    </row>
    <row r="105" spans="1:15" s="216" customFormat="1" hidden="1" outlineLevel="1" x14ac:dyDescent="0.25">
      <c r="A105" s="85"/>
      <c r="B105" s="219"/>
      <c r="C105" s="221" t="s">
        <v>295</v>
      </c>
      <c r="D105" s="274" t="s">
        <v>238</v>
      </c>
      <c r="E105" s="206" t="s">
        <v>238</v>
      </c>
      <c r="F105" s="206" t="s">
        <v>238</v>
      </c>
      <c r="G105" s="206" t="s">
        <v>238</v>
      </c>
      <c r="H105" s="206" t="s">
        <v>238</v>
      </c>
      <c r="I105" s="512" t="s">
        <v>238</v>
      </c>
      <c r="J105" s="512" t="s">
        <v>238</v>
      </c>
      <c r="K105" s="512" t="s">
        <v>238</v>
      </c>
      <c r="L105" s="512" t="s">
        <v>238</v>
      </c>
      <c r="M105" s="221">
        <v>40</v>
      </c>
      <c r="N105" s="125"/>
      <c r="O105" s="125"/>
    </row>
    <row r="106" spans="1:15" hidden="1" outlineLevel="1" x14ac:dyDescent="0.25">
      <c r="A106" s="85"/>
      <c r="B106" s="219"/>
      <c r="C106" s="221" t="s">
        <v>288</v>
      </c>
      <c r="D106" s="274">
        <v>55</v>
      </c>
      <c r="E106" s="206">
        <v>1.27</v>
      </c>
      <c r="F106" s="206">
        <v>1.0900000000000001</v>
      </c>
      <c r="G106" s="206">
        <v>0.71</v>
      </c>
      <c r="H106" s="206">
        <v>0.62</v>
      </c>
      <c r="I106" s="274">
        <v>103</v>
      </c>
      <c r="J106" s="274">
        <v>78</v>
      </c>
      <c r="K106" s="275">
        <v>1.5</v>
      </c>
      <c r="L106" s="275">
        <v>2.8</v>
      </c>
      <c r="M106" s="221">
        <v>41</v>
      </c>
      <c r="N106" s="125"/>
      <c r="O106" s="125"/>
    </row>
    <row r="107" spans="1:15" ht="15" hidden="1" customHeight="1" outlineLevel="1" x14ac:dyDescent="0.25">
      <c r="A107" s="85"/>
      <c r="B107" s="220"/>
      <c r="C107" s="221" t="s">
        <v>284</v>
      </c>
      <c r="D107" s="274">
        <v>33</v>
      </c>
      <c r="E107" s="206">
        <v>1.1599999999999999</v>
      </c>
      <c r="F107" s="206">
        <v>1.1200000000000001</v>
      </c>
      <c r="G107" s="206">
        <v>0.73</v>
      </c>
      <c r="H107" s="206">
        <v>0.64</v>
      </c>
      <c r="I107" s="274">
        <v>98</v>
      </c>
      <c r="J107" s="274">
        <v>65</v>
      </c>
      <c r="K107" s="275">
        <v>1.5</v>
      </c>
      <c r="L107" s="275">
        <v>2.4</v>
      </c>
      <c r="M107" s="221">
        <v>35</v>
      </c>
      <c r="N107" s="125"/>
      <c r="O107" s="125"/>
    </row>
    <row r="108" spans="1:15" hidden="1" outlineLevel="1" x14ac:dyDescent="0.25">
      <c r="A108" s="85"/>
      <c r="B108" s="220"/>
      <c r="C108" s="221" t="s">
        <v>283</v>
      </c>
      <c r="D108" s="274">
        <v>33</v>
      </c>
      <c r="E108" s="206">
        <v>1.21</v>
      </c>
      <c r="F108" s="206">
        <v>1.01</v>
      </c>
      <c r="G108" s="206">
        <v>0.8</v>
      </c>
      <c r="H108" s="206">
        <v>0.73</v>
      </c>
      <c r="I108" s="510">
        <v>113</v>
      </c>
      <c r="J108" s="510">
        <v>71</v>
      </c>
      <c r="K108" s="275">
        <v>1.5</v>
      </c>
      <c r="L108" s="275">
        <v>2.4</v>
      </c>
      <c r="M108" s="221">
        <v>34</v>
      </c>
      <c r="N108" s="125"/>
      <c r="O108" s="125"/>
    </row>
    <row r="109" spans="1:15" s="216" customFormat="1" hidden="1" outlineLevel="1" x14ac:dyDescent="0.25">
      <c r="A109" s="85"/>
      <c r="B109" s="220"/>
      <c r="C109" s="221" t="s">
        <v>294</v>
      </c>
      <c r="D109" s="274" t="s">
        <v>238</v>
      </c>
      <c r="E109" s="206" t="s">
        <v>238</v>
      </c>
      <c r="F109" s="206" t="s">
        <v>238</v>
      </c>
      <c r="G109" s="206" t="s">
        <v>238</v>
      </c>
      <c r="H109" s="206" t="s">
        <v>238</v>
      </c>
      <c r="I109" s="512" t="s">
        <v>238</v>
      </c>
      <c r="J109" s="512" t="s">
        <v>238</v>
      </c>
      <c r="K109" s="512" t="s">
        <v>238</v>
      </c>
      <c r="L109" s="512" t="s">
        <v>238</v>
      </c>
      <c r="M109" s="221">
        <v>32</v>
      </c>
      <c r="N109" s="125"/>
      <c r="O109" s="125"/>
    </row>
    <row r="110" spans="1:15" hidden="1" outlineLevel="1" x14ac:dyDescent="0.25">
      <c r="A110" s="85"/>
      <c r="B110" s="220"/>
      <c r="C110" s="221" t="s">
        <v>285</v>
      </c>
      <c r="D110" s="274">
        <v>33</v>
      </c>
      <c r="E110" s="206">
        <v>1.23</v>
      </c>
      <c r="F110" s="206">
        <v>1.04</v>
      </c>
      <c r="G110" s="206">
        <v>0.73</v>
      </c>
      <c r="H110" s="206">
        <v>0.64</v>
      </c>
      <c r="I110" s="274">
        <v>106</v>
      </c>
      <c r="J110" s="274">
        <v>66</v>
      </c>
      <c r="K110" s="275">
        <v>1.5</v>
      </c>
      <c r="L110" s="275">
        <v>2.8</v>
      </c>
      <c r="M110" s="221">
        <v>37</v>
      </c>
      <c r="N110" s="125"/>
      <c r="O110" s="125"/>
    </row>
    <row r="111" spans="1:15" hidden="1" outlineLevel="1" x14ac:dyDescent="0.25">
      <c r="A111" s="85"/>
      <c r="B111" s="220"/>
      <c r="C111" s="221" t="s">
        <v>281</v>
      </c>
      <c r="D111" s="274">
        <v>21</v>
      </c>
      <c r="E111" s="206">
        <v>1.32</v>
      </c>
      <c r="F111" s="206">
        <v>1.32</v>
      </c>
      <c r="G111" s="206">
        <v>0.79</v>
      </c>
      <c r="H111" s="206">
        <v>0.71</v>
      </c>
      <c r="I111" s="274">
        <v>90</v>
      </c>
      <c r="J111" s="274">
        <v>55</v>
      </c>
      <c r="K111" s="275">
        <v>1.5</v>
      </c>
      <c r="L111" s="275">
        <v>2.4</v>
      </c>
      <c r="M111" s="221">
        <v>31</v>
      </c>
      <c r="N111" s="125"/>
      <c r="O111" s="125"/>
    </row>
    <row r="112" spans="1:15" hidden="1" outlineLevel="1" x14ac:dyDescent="0.25">
      <c r="A112" s="85"/>
      <c r="B112" s="220"/>
      <c r="C112" s="221" t="s">
        <v>280</v>
      </c>
      <c r="D112" s="274">
        <v>21</v>
      </c>
      <c r="E112" s="206">
        <v>1.22</v>
      </c>
      <c r="F112" s="206">
        <v>1.22</v>
      </c>
      <c r="G112" s="206">
        <v>0.87</v>
      </c>
      <c r="H112" s="206">
        <v>0.8</v>
      </c>
      <c r="I112" s="510">
        <v>102</v>
      </c>
      <c r="J112" s="510">
        <v>60</v>
      </c>
      <c r="K112" s="275">
        <v>1.5</v>
      </c>
      <c r="L112" s="275">
        <v>2.4</v>
      </c>
      <c r="M112" s="221">
        <v>30</v>
      </c>
      <c r="N112" s="125"/>
      <c r="O112" s="125"/>
    </row>
    <row r="113" spans="1:15" s="216" customFormat="1" hidden="1" outlineLevel="1" x14ac:dyDescent="0.25">
      <c r="A113" s="85"/>
      <c r="B113" s="220"/>
      <c r="C113" s="221" t="s">
        <v>293</v>
      </c>
      <c r="D113" s="274" t="s">
        <v>238</v>
      </c>
      <c r="E113" s="206" t="s">
        <v>238</v>
      </c>
      <c r="F113" s="206" t="s">
        <v>238</v>
      </c>
      <c r="G113" s="206" t="s">
        <v>238</v>
      </c>
      <c r="H113" s="206" t="s">
        <v>238</v>
      </c>
      <c r="I113" s="206" t="s">
        <v>238</v>
      </c>
      <c r="J113" s="206" t="s">
        <v>238</v>
      </c>
      <c r="K113" s="512" t="s">
        <v>238</v>
      </c>
      <c r="L113" s="512" t="s">
        <v>238</v>
      </c>
      <c r="M113" s="221">
        <v>36</v>
      </c>
      <c r="N113" s="125"/>
      <c r="O113" s="125"/>
    </row>
    <row r="114" spans="1:15" hidden="1" outlineLevel="1" x14ac:dyDescent="0.25">
      <c r="A114" s="85"/>
      <c r="B114" s="220"/>
      <c r="C114" s="221" t="s">
        <v>282</v>
      </c>
      <c r="D114" s="274">
        <v>21</v>
      </c>
      <c r="E114" s="206">
        <v>1.23</v>
      </c>
      <c r="F114" s="206">
        <v>1.17</v>
      </c>
      <c r="G114" s="206">
        <v>0.78</v>
      </c>
      <c r="H114" s="206">
        <v>0.69</v>
      </c>
      <c r="I114" s="512">
        <v>98</v>
      </c>
      <c r="J114" s="512">
        <v>56</v>
      </c>
      <c r="K114" s="275">
        <v>1.5</v>
      </c>
      <c r="L114" s="275">
        <v>2.8</v>
      </c>
      <c r="M114" s="221">
        <v>33</v>
      </c>
      <c r="N114" s="125"/>
      <c r="O114" s="125"/>
    </row>
    <row r="115" spans="1:15" hidden="1" outlineLevel="1" x14ac:dyDescent="0.25">
      <c r="A115" s="85"/>
      <c r="B115" s="220"/>
      <c r="C115" s="221" t="s">
        <v>266</v>
      </c>
      <c r="D115" s="274">
        <v>25</v>
      </c>
      <c r="E115" s="206">
        <v>1.28</v>
      </c>
      <c r="F115" s="206">
        <v>1.23</v>
      </c>
      <c r="G115" s="206">
        <v>0.9</v>
      </c>
      <c r="H115" s="206">
        <v>0.8</v>
      </c>
      <c r="I115" s="274">
        <v>44</v>
      </c>
      <c r="J115" s="274">
        <v>63</v>
      </c>
      <c r="K115" s="275">
        <v>1.3</v>
      </c>
      <c r="L115" s="275">
        <v>0.8</v>
      </c>
      <c r="M115" s="221">
        <v>1</v>
      </c>
      <c r="N115" s="125"/>
      <c r="O115" s="125"/>
    </row>
    <row r="116" spans="1:15" hidden="1" outlineLevel="1" x14ac:dyDescent="0.25">
      <c r="A116" s="85"/>
      <c r="B116" s="220"/>
      <c r="C116" s="221" t="s">
        <v>263</v>
      </c>
      <c r="D116" s="274">
        <v>30</v>
      </c>
      <c r="E116" s="206">
        <v>1.28</v>
      </c>
      <c r="F116" s="206">
        <v>1.1299999999999999</v>
      </c>
      <c r="G116" s="206">
        <v>0.9</v>
      </c>
      <c r="H116" s="206">
        <v>0.8</v>
      </c>
      <c r="I116" s="274">
        <v>42</v>
      </c>
      <c r="J116" s="274">
        <v>65</v>
      </c>
      <c r="K116" s="275">
        <v>1.3</v>
      </c>
      <c r="L116" s="275">
        <v>0.8</v>
      </c>
      <c r="M116" s="221">
        <v>2</v>
      </c>
      <c r="N116" s="125"/>
      <c r="O116" s="125"/>
    </row>
    <row r="117" spans="1:15" s="216" customFormat="1" hidden="1" outlineLevel="1" x14ac:dyDescent="0.25">
      <c r="A117" s="85"/>
      <c r="B117" s="220"/>
      <c r="C117" s="221" t="s">
        <v>264</v>
      </c>
      <c r="D117" s="274">
        <v>35</v>
      </c>
      <c r="E117" s="206">
        <v>1.28</v>
      </c>
      <c r="F117" s="206">
        <v>1.05</v>
      </c>
      <c r="G117" s="206">
        <v>0.91</v>
      </c>
      <c r="H117" s="206">
        <v>0.81</v>
      </c>
      <c r="I117" s="274">
        <v>42</v>
      </c>
      <c r="J117" s="274">
        <v>67</v>
      </c>
      <c r="K117" s="275">
        <v>1.3</v>
      </c>
      <c r="L117" s="275">
        <v>0.8</v>
      </c>
      <c r="M117" s="221">
        <v>3</v>
      </c>
      <c r="N117" s="125"/>
      <c r="O117" s="125"/>
    </row>
    <row r="118" spans="1:15" hidden="1" outlineLevel="1" x14ac:dyDescent="0.25">
      <c r="A118" s="85"/>
      <c r="B118" s="220"/>
      <c r="C118" s="221" t="s">
        <v>262</v>
      </c>
      <c r="D118" s="274">
        <v>25</v>
      </c>
      <c r="E118" s="206">
        <v>1.5</v>
      </c>
      <c r="F118" s="206">
        <v>1.26</v>
      </c>
      <c r="G118" s="206">
        <v>0.85</v>
      </c>
      <c r="H118" s="206">
        <v>0.73</v>
      </c>
      <c r="I118" s="274">
        <v>65</v>
      </c>
      <c r="J118" s="274">
        <v>66</v>
      </c>
      <c r="K118" s="275">
        <v>1.3</v>
      </c>
      <c r="L118" s="275">
        <v>0.8</v>
      </c>
      <c r="M118" s="221">
        <v>5</v>
      </c>
      <c r="N118" s="125"/>
      <c r="O118" s="125"/>
    </row>
    <row r="119" spans="1:15" ht="15" hidden="1" customHeight="1" outlineLevel="1" x14ac:dyDescent="0.25">
      <c r="A119" s="85"/>
      <c r="B119" s="220"/>
      <c r="C119" s="221" t="s">
        <v>265</v>
      </c>
      <c r="D119" s="274">
        <v>35</v>
      </c>
      <c r="E119" s="206">
        <v>1.36</v>
      </c>
      <c r="F119" s="206">
        <v>1</v>
      </c>
      <c r="G119" s="206">
        <v>0.96</v>
      </c>
      <c r="H119" s="206">
        <v>0.87</v>
      </c>
      <c r="I119" s="274">
        <v>50</v>
      </c>
      <c r="J119" s="274">
        <v>71</v>
      </c>
      <c r="K119" s="275">
        <v>1.3</v>
      </c>
      <c r="L119" s="275">
        <v>0.8</v>
      </c>
      <c r="M119" s="221">
        <v>4</v>
      </c>
      <c r="N119" s="125"/>
      <c r="O119" s="125"/>
    </row>
    <row r="120" spans="1:15" hidden="1" outlineLevel="1" x14ac:dyDescent="0.25">
      <c r="A120" s="85"/>
      <c r="B120" s="220"/>
      <c r="C120" s="800" t="s">
        <v>1164</v>
      </c>
      <c r="D120" s="274">
        <v>55</v>
      </c>
      <c r="E120" s="206">
        <v>1.56</v>
      </c>
      <c r="F120" s="206">
        <v>1.29</v>
      </c>
      <c r="G120" s="206">
        <v>0.73</v>
      </c>
      <c r="H120" s="206">
        <v>0.65</v>
      </c>
      <c r="I120" s="274">
        <v>71</v>
      </c>
      <c r="J120" s="274">
        <v>75</v>
      </c>
      <c r="K120" s="275">
        <v>1.9</v>
      </c>
      <c r="L120" s="275">
        <v>2</v>
      </c>
      <c r="M120" s="221">
        <v>15</v>
      </c>
      <c r="N120" s="125"/>
      <c r="O120" s="125"/>
    </row>
    <row r="121" spans="1:15" s="216" customFormat="1" hidden="1" outlineLevel="1" x14ac:dyDescent="0.25">
      <c r="A121" s="85"/>
      <c r="B121" s="220"/>
      <c r="C121" s="800" t="s">
        <v>1165</v>
      </c>
      <c r="D121" s="274">
        <v>55</v>
      </c>
      <c r="E121" s="206">
        <v>1.38</v>
      </c>
      <c r="F121" s="206">
        <v>1.1100000000000001</v>
      </c>
      <c r="G121" s="206">
        <v>0.82</v>
      </c>
      <c r="H121" s="206">
        <v>0.75</v>
      </c>
      <c r="I121" s="510">
        <v>86</v>
      </c>
      <c r="J121" s="510">
        <v>83</v>
      </c>
      <c r="K121" s="275">
        <v>1.9</v>
      </c>
      <c r="L121" s="275">
        <v>2.2000000000000002</v>
      </c>
      <c r="M121" s="221">
        <v>14</v>
      </c>
      <c r="N121" s="125"/>
      <c r="O121" s="125"/>
    </row>
    <row r="122" spans="1:15" hidden="1" outlineLevel="1" x14ac:dyDescent="0.25">
      <c r="A122" s="85"/>
      <c r="B122" s="220"/>
      <c r="C122" s="800" t="s">
        <v>1166</v>
      </c>
      <c r="D122" s="274" t="s">
        <v>238</v>
      </c>
      <c r="E122" s="206" t="s">
        <v>238</v>
      </c>
      <c r="F122" s="206" t="s">
        <v>238</v>
      </c>
      <c r="G122" s="206" t="s">
        <v>238</v>
      </c>
      <c r="H122" s="206" t="s">
        <v>238</v>
      </c>
      <c r="I122" s="512" t="s">
        <v>238</v>
      </c>
      <c r="J122" s="512" t="s">
        <v>238</v>
      </c>
      <c r="K122" s="512" t="s">
        <v>238</v>
      </c>
      <c r="L122" s="512" t="s">
        <v>238</v>
      </c>
      <c r="M122" s="221">
        <v>16</v>
      </c>
      <c r="N122" s="125"/>
      <c r="O122" s="125"/>
    </row>
    <row r="123" spans="1:15" hidden="1" outlineLevel="1" x14ac:dyDescent="0.25">
      <c r="A123" s="85"/>
      <c r="B123" s="220"/>
      <c r="C123" s="800" t="s">
        <v>269</v>
      </c>
      <c r="D123" s="274">
        <v>55</v>
      </c>
      <c r="E123" s="206">
        <v>1.51</v>
      </c>
      <c r="F123" s="206">
        <v>1.24</v>
      </c>
      <c r="G123" s="206">
        <v>0.76</v>
      </c>
      <c r="H123" s="206">
        <v>0.68</v>
      </c>
      <c r="I123" s="274">
        <v>71</v>
      </c>
      <c r="J123" s="274">
        <v>77</v>
      </c>
      <c r="K123" s="275">
        <v>1.9</v>
      </c>
      <c r="L123" s="275">
        <v>2.2000000000000002</v>
      </c>
      <c r="M123" s="221">
        <v>17</v>
      </c>
      <c r="N123" s="125"/>
      <c r="O123" s="125"/>
    </row>
    <row r="124" spans="1:15" hidden="1" outlineLevel="1" x14ac:dyDescent="0.25">
      <c r="A124" s="85"/>
      <c r="B124" s="220"/>
      <c r="C124" s="800" t="s">
        <v>1167</v>
      </c>
      <c r="D124" s="274">
        <v>33</v>
      </c>
      <c r="E124" s="206">
        <v>1.85</v>
      </c>
      <c r="F124" s="206">
        <v>1.26</v>
      </c>
      <c r="G124" s="206">
        <v>0.75</v>
      </c>
      <c r="H124" s="206">
        <v>0.66</v>
      </c>
      <c r="I124" s="274">
        <v>74</v>
      </c>
      <c r="J124" s="274">
        <v>65</v>
      </c>
      <c r="K124" s="275">
        <v>1.9</v>
      </c>
      <c r="L124" s="275">
        <v>2</v>
      </c>
      <c r="M124" s="221">
        <v>11</v>
      </c>
      <c r="N124" s="125"/>
      <c r="O124" s="125"/>
    </row>
    <row r="125" spans="1:15" s="216" customFormat="1" hidden="1" outlineLevel="1" x14ac:dyDescent="0.25">
      <c r="A125" s="85"/>
      <c r="B125" s="220"/>
      <c r="C125" s="800" t="s">
        <v>1168</v>
      </c>
      <c r="D125" s="274">
        <v>33</v>
      </c>
      <c r="E125" s="206">
        <v>1.4</v>
      </c>
      <c r="F125" s="206">
        <v>1.0900000000000001</v>
      </c>
      <c r="G125" s="206">
        <v>0.85</v>
      </c>
      <c r="H125" s="206">
        <v>0.77</v>
      </c>
      <c r="I125" s="510">
        <v>87</v>
      </c>
      <c r="J125" s="510">
        <v>72</v>
      </c>
      <c r="K125" s="275">
        <v>1.9</v>
      </c>
      <c r="L125" s="275">
        <v>2.2000000000000002</v>
      </c>
      <c r="M125" s="221">
        <v>10</v>
      </c>
      <c r="N125" s="125"/>
      <c r="O125" s="125"/>
    </row>
    <row r="126" spans="1:15" hidden="1" outlineLevel="1" x14ac:dyDescent="0.25">
      <c r="A126" s="85"/>
      <c r="B126" s="220"/>
      <c r="C126" s="800" t="s">
        <v>1169</v>
      </c>
      <c r="D126" s="274" t="s">
        <v>238</v>
      </c>
      <c r="E126" s="206" t="s">
        <v>238</v>
      </c>
      <c r="F126" s="206" t="s">
        <v>238</v>
      </c>
      <c r="G126" s="206" t="s">
        <v>238</v>
      </c>
      <c r="H126" s="206" t="s">
        <v>238</v>
      </c>
      <c r="I126" s="512" t="s">
        <v>238</v>
      </c>
      <c r="J126" s="512" t="s">
        <v>238</v>
      </c>
      <c r="K126" s="512" t="s">
        <v>238</v>
      </c>
      <c r="L126" s="512" t="s">
        <v>238</v>
      </c>
      <c r="M126" s="221">
        <v>12</v>
      </c>
      <c r="N126" s="125"/>
      <c r="O126" s="125"/>
    </row>
    <row r="127" spans="1:15" hidden="1" outlineLevel="1" x14ac:dyDescent="0.25">
      <c r="A127" s="85"/>
      <c r="B127" s="220"/>
      <c r="C127" s="800" t="s">
        <v>268</v>
      </c>
      <c r="D127" s="274">
        <v>33</v>
      </c>
      <c r="E127" s="206">
        <v>1.71</v>
      </c>
      <c r="F127" s="206">
        <v>1.21</v>
      </c>
      <c r="G127" s="206">
        <v>0.79</v>
      </c>
      <c r="H127" s="206">
        <v>0.7</v>
      </c>
      <c r="I127" s="274">
        <v>74</v>
      </c>
      <c r="J127" s="274">
        <v>68</v>
      </c>
      <c r="K127" s="275">
        <v>1.9</v>
      </c>
      <c r="L127" s="275">
        <v>2.2000000000000002</v>
      </c>
      <c r="M127" s="221">
        <v>13</v>
      </c>
      <c r="N127" s="125"/>
      <c r="O127" s="125"/>
    </row>
    <row r="128" spans="1:15" hidden="1" outlineLevel="1" x14ac:dyDescent="0.25">
      <c r="A128" s="85"/>
      <c r="B128" s="220"/>
      <c r="C128" s="800" t="s">
        <v>1170</v>
      </c>
      <c r="D128" s="274">
        <v>21</v>
      </c>
      <c r="E128" s="206">
        <v>1.51</v>
      </c>
      <c r="F128" s="206">
        <v>1.45</v>
      </c>
      <c r="G128" s="206">
        <v>0.81</v>
      </c>
      <c r="H128" s="206">
        <v>0.72</v>
      </c>
      <c r="I128" s="274">
        <v>70</v>
      </c>
      <c r="J128" s="274">
        <v>58</v>
      </c>
      <c r="K128" s="275">
        <v>1.9</v>
      </c>
      <c r="L128" s="275">
        <v>2</v>
      </c>
      <c r="M128" s="221">
        <v>7</v>
      </c>
      <c r="N128" s="125"/>
      <c r="O128" s="125"/>
    </row>
    <row r="129" spans="1:15" s="216" customFormat="1" hidden="1" outlineLevel="1" x14ac:dyDescent="0.25">
      <c r="A129" s="85"/>
      <c r="B129" s="220"/>
      <c r="C129" s="800" t="s">
        <v>1171</v>
      </c>
      <c r="D129" s="274">
        <v>20</v>
      </c>
      <c r="E129" s="206">
        <v>1.36</v>
      </c>
      <c r="F129" s="206">
        <v>1.31</v>
      </c>
      <c r="G129" s="206">
        <v>0.9</v>
      </c>
      <c r="H129" s="206">
        <v>0.83</v>
      </c>
      <c r="I129" s="510">
        <v>80</v>
      </c>
      <c r="J129" s="510">
        <v>62</v>
      </c>
      <c r="K129" s="275">
        <v>1.9</v>
      </c>
      <c r="L129" s="275">
        <v>2.2000000000000002</v>
      </c>
      <c r="M129" s="221">
        <v>6</v>
      </c>
      <c r="N129" s="125"/>
      <c r="O129" s="125"/>
    </row>
    <row r="130" spans="1:15" hidden="1" outlineLevel="1" x14ac:dyDescent="0.25">
      <c r="A130" s="85"/>
      <c r="B130" s="220"/>
      <c r="C130" s="800" t="s">
        <v>1172</v>
      </c>
      <c r="D130" s="274" t="s">
        <v>238</v>
      </c>
      <c r="E130" s="206" t="s">
        <v>238</v>
      </c>
      <c r="F130" s="206" t="s">
        <v>238</v>
      </c>
      <c r="G130" s="206" t="s">
        <v>238</v>
      </c>
      <c r="H130" s="206" t="s">
        <v>238</v>
      </c>
      <c r="I130" s="512" t="s">
        <v>238</v>
      </c>
      <c r="J130" s="512" t="s">
        <v>238</v>
      </c>
      <c r="K130" s="512" t="s">
        <v>238</v>
      </c>
      <c r="L130" s="512" t="s">
        <v>238</v>
      </c>
      <c r="M130" s="221">
        <v>8</v>
      </c>
      <c r="N130" s="125"/>
      <c r="O130" s="125"/>
    </row>
    <row r="131" spans="1:15" hidden="1" outlineLevel="1" x14ac:dyDescent="0.25">
      <c r="A131" s="85"/>
      <c r="B131" s="210"/>
      <c r="C131" s="800" t="s">
        <v>267</v>
      </c>
      <c r="D131" s="274">
        <v>21</v>
      </c>
      <c r="E131" s="206">
        <v>1.47</v>
      </c>
      <c r="F131" s="206">
        <v>1.41</v>
      </c>
      <c r="G131" s="206">
        <v>0.84</v>
      </c>
      <c r="H131" s="206">
        <v>0.77</v>
      </c>
      <c r="I131" s="274">
        <v>69</v>
      </c>
      <c r="J131" s="274">
        <v>60</v>
      </c>
      <c r="K131" s="275">
        <v>1.9</v>
      </c>
      <c r="L131" s="275">
        <v>2.2000000000000002</v>
      </c>
      <c r="M131" s="221">
        <v>9</v>
      </c>
      <c r="N131" s="125"/>
      <c r="O131" s="125"/>
    </row>
    <row r="132" spans="1:15" hidden="1" outlineLevel="1" x14ac:dyDescent="0.25">
      <c r="A132" s="85"/>
      <c r="B132" s="210"/>
      <c r="C132" s="221" t="s">
        <v>317</v>
      </c>
      <c r="D132" s="274">
        <v>55</v>
      </c>
      <c r="E132" s="206">
        <v>1.48</v>
      </c>
      <c r="F132" s="206">
        <v>1.21</v>
      </c>
      <c r="G132" s="206">
        <v>0.72</v>
      </c>
      <c r="H132" s="206">
        <v>0.64</v>
      </c>
      <c r="I132" s="274">
        <v>52</v>
      </c>
      <c r="J132" s="274">
        <v>67</v>
      </c>
      <c r="K132" s="275">
        <v>1.4</v>
      </c>
      <c r="L132" s="275">
        <v>1.8</v>
      </c>
      <c r="M132" s="221">
        <v>63</v>
      </c>
      <c r="N132" s="125"/>
      <c r="O132" s="125"/>
    </row>
    <row r="133" spans="1:15" s="216" customFormat="1" hidden="1" outlineLevel="1" x14ac:dyDescent="0.25">
      <c r="A133" s="85"/>
      <c r="B133" s="210"/>
      <c r="C133" s="221" t="s">
        <v>316</v>
      </c>
      <c r="D133" s="274">
        <v>55</v>
      </c>
      <c r="E133" s="206">
        <v>1.37</v>
      </c>
      <c r="F133" s="206">
        <v>1.1000000000000001</v>
      </c>
      <c r="G133" s="206">
        <v>0.81</v>
      </c>
      <c r="H133" s="206">
        <v>0.74</v>
      </c>
      <c r="I133" s="510">
        <v>67</v>
      </c>
      <c r="J133" s="510">
        <v>76</v>
      </c>
      <c r="K133" s="275">
        <v>1.6</v>
      </c>
      <c r="L133" s="275">
        <v>1.8</v>
      </c>
      <c r="M133" s="221">
        <v>62</v>
      </c>
      <c r="N133" s="125"/>
      <c r="O133" s="125"/>
    </row>
    <row r="134" spans="1:15" hidden="1" outlineLevel="1" x14ac:dyDescent="0.25">
      <c r="A134" s="85"/>
      <c r="B134" s="210"/>
      <c r="C134" s="221" t="s">
        <v>318</v>
      </c>
      <c r="D134" s="274" t="s">
        <v>238</v>
      </c>
      <c r="E134" s="206" t="s">
        <v>238</v>
      </c>
      <c r="F134" s="206" t="s">
        <v>238</v>
      </c>
      <c r="G134" s="206" t="s">
        <v>238</v>
      </c>
      <c r="H134" s="206" t="s">
        <v>238</v>
      </c>
      <c r="I134" s="512" t="s">
        <v>238</v>
      </c>
      <c r="J134" s="512" t="s">
        <v>238</v>
      </c>
      <c r="K134" s="512" t="s">
        <v>238</v>
      </c>
      <c r="L134" s="512" t="s">
        <v>238</v>
      </c>
      <c r="M134" s="221">
        <v>64</v>
      </c>
      <c r="N134" s="125"/>
      <c r="O134" s="125"/>
    </row>
    <row r="135" spans="1:15" hidden="1" outlineLevel="1" x14ac:dyDescent="0.25">
      <c r="A135" s="85"/>
      <c r="B135" s="210"/>
      <c r="C135" s="221" t="s">
        <v>319</v>
      </c>
      <c r="D135" s="274">
        <v>55</v>
      </c>
      <c r="E135" s="206">
        <v>1.42</v>
      </c>
      <c r="F135" s="206">
        <v>1.1499999999999999</v>
      </c>
      <c r="G135" s="206">
        <v>0.71</v>
      </c>
      <c r="H135" s="206">
        <v>0.63</v>
      </c>
      <c r="I135" s="274">
        <v>78</v>
      </c>
      <c r="J135" s="274">
        <v>75</v>
      </c>
      <c r="K135" s="275">
        <v>1.6</v>
      </c>
      <c r="L135" s="275">
        <v>1.8</v>
      </c>
      <c r="M135" s="221">
        <v>65</v>
      </c>
      <c r="N135" s="125"/>
      <c r="O135" s="125"/>
    </row>
    <row r="136" spans="1:15" hidden="1" outlineLevel="1" x14ac:dyDescent="0.25">
      <c r="A136" s="85"/>
      <c r="B136" s="210"/>
      <c r="C136" s="221" t="s">
        <v>313</v>
      </c>
      <c r="D136" s="274">
        <v>33</v>
      </c>
      <c r="E136" s="206">
        <v>1.62</v>
      </c>
      <c r="F136" s="206">
        <v>1.18</v>
      </c>
      <c r="G136" s="206">
        <v>0.74</v>
      </c>
      <c r="H136" s="206">
        <v>0.67</v>
      </c>
      <c r="I136" s="274">
        <v>57</v>
      </c>
      <c r="J136" s="274">
        <v>59</v>
      </c>
      <c r="K136" s="275">
        <v>1.4</v>
      </c>
      <c r="L136" s="275">
        <v>1.8</v>
      </c>
      <c r="M136" s="221">
        <v>59</v>
      </c>
      <c r="N136" s="125"/>
      <c r="O136" s="125"/>
    </row>
    <row r="137" spans="1:15" s="216" customFormat="1" hidden="1" outlineLevel="1" x14ac:dyDescent="0.25">
      <c r="A137" s="85"/>
      <c r="B137" s="210"/>
      <c r="C137" s="221" t="s">
        <v>312</v>
      </c>
      <c r="D137" s="274">
        <v>33</v>
      </c>
      <c r="E137" s="206">
        <v>1.39</v>
      </c>
      <c r="F137" s="206">
        <v>1.08</v>
      </c>
      <c r="G137" s="206">
        <v>0.83</v>
      </c>
      <c r="H137" s="206">
        <v>0.77</v>
      </c>
      <c r="I137" s="510">
        <v>70</v>
      </c>
      <c r="J137" s="510">
        <v>65</v>
      </c>
      <c r="K137" s="275">
        <v>1.6</v>
      </c>
      <c r="L137" s="275">
        <v>1.8</v>
      </c>
      <c r="M137" s="221">
        <v>58</v>
      </c>
      <c r="N137" s="125"/>
      <c r="O137" s="125"/>
    </row>
    <row r="138" spans="1:15" hidden="1" outlineLevel="1" x14ac:dyDescent="0.25">
      <c r="A138" s="85"/>
      <c r="B138" s="210"/>
      <c r="C138" s="221" t="s">
        <v>314</v>
      </c>
      <c r="D138" s="274" t="s">
        <v>238</v>
      </c>
      <c r="E138" s="206" t="s">
        <v>238</v>
      </c>
      <c r="F138" s="206" t="s">
        <v>238</v>
      </c>
      <c r="G138" s="206" t="s">
        <v>238</v>
      </c>
      <c r="H138" s="206" t="s">
        <v>238</v>
      </c>
      <c r="I138" s="512" t="s">
        <v>238</v>
      </c>
      <c r="J138" s="512" t="s">
        <v>238</v>
      </c>
      <c r="K138" s="512" t="s">
        <v>238</v>
      </c>
      <c r="L138" s="512" t="s">
        <v>238</v>
      </c>
      <c r="M138" s="221">
        <v>60</v>
      </c>
      <c r="N138" s="125"/>
      <c r="O138" s="125"/>
    </row>
    <row r="139" spans="1:15" hidden="1" outlineLevel="1" x14ac:dyDescent="0.25">
      <c r="A139" s="85"/>
      <c r="B139" s="210"/>
      <c r="C139" s="221" t="s">
        <v>315</v>
      </c>
      <c r="D139" s="274">
        <v>33</v>
      </c>
      <c r="E139" s="206">
        <v>1.49</v>
      </c>
      <c r="F139" s="206">
        <v>1.1299999999999999</v>
      </c>
      <c r="G139" s="206">
        <v>0.72</v>
      </c>
      <c r="H139" s="206">
        <v>0.64</v>
      </c>
      <c r="I139" s="274">
        <v>80</v>
      </c>
      <c r="J139" s="274">
        <v>64</v>
      </c>
      <c r="K139" s="275">
        <v>1.6</v>
      </c>
      <c r="L139" s="275">
        <v>1.8</v>
      </c>
      <c r="M139" s="221">
        <v>61</v>
      </c>
      <c r="N139" s="125"/>
      <c r="O139" s="125"/>
    </row>
    <row r="140" spans="1:15" hidden="1" outlineLevel="1" x14ac:dyDescent="0.25">
      <c r="A140" s="85"/>
      <c r="B140" s="210"/>
      <c r="C140" s="221" t="s">
        <v>309</v>
      </c>
      <c r="D140" s="274">
        <v>21</v>
      </c>
      <c r="E140" s="206">
        <v>1.44</v>
      </c>
      <c r="F140" s="206">
        <v>1.35</v>
      </c>
      <c r="G140" s="206">
        <v>0.81</v>
      </c>
      <c r="H140" s="206">
        <v>0.73</v>
      </c>
      <c r="I140" s="274">
        <v>54</v>
      </c>
      <c r="J140" s="274">
        <v>51</v>
      </c>
      <c r="K140" s="275">
        <v>1.4</v>
      </c>
      <c r="L140" s="275">
        <v>1.8</v>
      </c>
      <c r="M140" s="221">
        <v>55</v>
      </c>
      <c r="N140" s="125"/>
      <c r="O140" s="125"/>
    </row>
    <row r="141" spans="1:15" s="216" customFormat="1" hidden="1" outlineLevel="1" x14ac:dyDescent="0.25">
      <c r="A141" s="85"/>
      <c r="B141" s="210"/>
      <c r="C141" s="221" t="s">
        <v>308</v>
      </c>
      <c r="D141" s="274">
        <v>21</v>
      </c>
      <c r="E141" s="206">
        <v>1.36</v>
      </c>
      <c r="F141" s="206">
        <v>1.3</v>
      </c>
      <c r="G141" s="206">
        <v>0.9</v>
      </c>
      <c r="H141" s="206">
        <v>0.84</v>
      </c>
      <c r="I141" s="510">
        <v>65</v>
      </c>
      <c r="J141" s="510">
        <v>55</v>
      </c>
      <c r="K141" s="275">
        <v>1.6</v>
      </c>
      <c r="L141" s="275">
        <v>1.8</v>
      </c>
      <c r="M141" s="221">
        <v>54</v>
      </c>
      <c r="N141" s="125"/>
      <c r="O141" s="125"/>
    </row>
    <row r="142" spans="1:15" hidden="1" outlineLevel="1" x14ac:dyDescent="0.25">
      <c r="A142" s="85"/>
      <c r="B142" s="210"/>
      <c r="C142" s="221" t="s">
        <v>310</v>
      </c>
      <c r="D142" s="274" t="s">
        <v>238</v>
      </c>
      <c r="E142" s="206" t="s">
        <v>238</v>
      </c>
      <c r="F142" s="206" t="s">
        <v>238</v>
      </c>
      <c r="G142" s="206" t="s">
        <v>238</v>
      </c>
      <c r="H142" s="206" t="s">
        <v>238</v>
      </c>
      <c r="I142" s="512" t="s">
        <v>238</v>
      </c>
      <c r="J142" s="512" t="s">
        <v>238</v>
      </c>
      <c r="K142" s="512" t="s">
        <v>238</v>
      </c>
      <c r="L142" s="512" t="s">
        <v>238</v>
      </c>
      <c r="M142" s="221">
        <v>56</v>
      </c>
      <c r="N142" s="125"/>
      <c r="O142" s="125"/>
    </row>
    <row r="143" spans="1:15" hidden="1" outlineLevel="1" x14ac:dyDescent="0.25">
      <c r="A143" s="85"/>
      <c r="B143" s="210"/>
      <c r="C143" s="221" t="s">
        <v>311</v>
      </c>
      <c r="D143" s="274">
        <v>21</v>
      </c>
      <c r="E143" s="206">
        <v>1.39</v>
      </c>
      <c r="F143" s="206">
        <v>1.31</v>
      </c>
      <c r="G143" s="206">
        <v>0.79</v>
      </c>
      <c r="H143" s="206">
        <v>0.71</v>
      </c>
      <c r="I143" s="274">
        <v>74</v>
      </c>
      <c r="J143" s="274">
        <v>53</v>
      </c>
      <c r="K143" s="275">
        <v>1.6</v>
      </c>
      <c r="L143" s="275">
        <v>1.8</v>
      </c>
      <c r="M143" s="221">
        <v>57</v>
      </c>
      <c r="N143" s="125"/>
      <c r="O143" s="125"/>
    </row>
    <row r="144" spans="1:15" s="216" customFormat="1" hidden="1" outlineLevel="1" x14ac:dyDescent="0.25">
      <c r="A144" s="85"/>
      <c r="B144" s="210"/>
      <c r="C144" s="221" t="s">
        <v>305</v>
      </c>
      <c r="D144" s="274">
        <v>55</v>
      </c>
      <c r="E144" s="206">
        <v>1.33</v>
      </c>
      <c r="F144" s="206">
        <v>1.19</v>
      </c>
      <c r="G144" s="206">
        <v>0.76</v>
      </c>
      <c r="H144" s="206">
        <v>0.69</v>
      </c>
      <c r="I144" s="274">
        <v>86</v>
      </c>
      <c r="J144" s="274">
        <v>77</v>
      </c>
      <c r="K144" s="275">
        <v>1.7</v>
      </c>
      <c r="L144" s="275">
        <v>2.8</v>
      </c>
      <c r="M144" s="221">
        <v>51</v>
      </c>
      <c r="N144" s="125"/>
      <c r="O144" s="125"/>
    </row>
    <row r="145" spans="1:15" hidden="1" outlineLevel="1" x14ac:dyDescent="0.25">
      <c r="A145" s="85"/>
      <c r="B145" s="210"/>
      <c r="C145" s="221" t="s">
        <v>304</v>
      </c>
      <c r="D145" s="274">
        <v>55</v>
      </c>
      <c r="E145" s="206">
        <v>1.26</v>
      </c>
      <c r="F145" s="206">
        <v>1.08</v>
      </c>
      <c r="G145" s="206">
        <v>0.83</v>
      </c>
      <c r="H145" s="206">
        <v>0.76</v>
      </c>
      <c r="I145" s="510">
        <v>103</v>
      </c>
      <c r="J145" s="510">
        <v>84</v>
      </c>
      <c r="K145" s="275">
        <v>1.7</v>
      </c>
      <c r="L145" s="275">
        <v>2.8</v>
      </c>
      <c r="M145" s="221">
        <v>50</v>
      </c>
      <c r="N145" s="125"/>
      <c r="O145" s="125"/>
    </row>
    <row r="146" spans="1:15" hidden="1" outlineLevel="1" x14ac:dyDescent="0.25">
      <c r="A146" s="85"/>
      <c r="B146" s="210"/>
      <c r="C146" s="221" t="s">
        <v>306</v>
      </c>
      <c r="D146" s="274" t="s">
        <v>238</v>
      </c>
      <c r="E146" s="206" t="s">
        <v>238</v>
      </c>
      <c r="F146" s="206" t="s">
        <v>238</v>
      </c>
      <c r="G146" s="206" t="s">
        <v>238</v>
      </c>
      <c r="H146" s="206" t="s">
        <v>238</v>
      </c>
      <c r="I146" s="512" t="s">
        <v>238</v>
      </c>
      <c r="J146" s="512" t="s">
        <v>238</v>
      </c>
      <c r="K146" s="512" t="s">
        <v>238</v>
      </c>
      <c r="L146" s="512" t="s">
        <v>238</v>
      </c>
      <c r="M146" s="221">
        <v>52</v>
      </c>
      <c r="N146" s="125"/>
      <c r="O146" s="125"/>
    </row>
    <row r="147" spans="1:15" hidden="1" outlineLevel="1" x14ac:dyDescent="0.25">
      <c r="A147" s="85"/>
      <c r="B147" s="210"/>
      <c r="C147" s="221" t="s">
        <v>307</v>
      </c>
      <c r="D147" s="274">
        <v>55</v>
      </c>
      <c r="E147" s="206">
        <v>1.24</v>
      </c>
      <c r="F147" s="206">
        <v>1.0900000000000001</v>
      </c>
      <c r="G147" s="206">
        <v>0.74</v>
      </c>
      <c r="H147" s="206">
        <v>0.66</v>
      </c>
      <c r="I147" s="274">
        <v>95</v>
      </c>
      <c r="J147" s="274">
        <v>78</v>
      </c>
      <c r="K147" s="275">
        <v>1.7</v>
      </c>
      <c r="L147" s="275">
        <v>2.8</v>
      </c>
      <c r="M147" s="221">
        <v>53</v>
      </c>
      <c r="N147" s="125"/>
      <c r="O147" s="125"/>
    </row>
    <row r="148" spans="1:15" s="216" customFormat="1" hidden="1" outlineLevel="1" x14ac:dyDescent="0.25">
      <c r="A148" s="85"/>
      <c r="B148" s="210"/>
      <c r="C148" s="221" t="s">
        <v>301</v>
      </c>
      <c r="D148" s="274">
        <v>33</v>
      </c>
      <c r="E148" s="206">
        <v>1.45</v>
      </c>
      <c r="F148" s="206">
        <v>1.17</v>
      </c>
      <c r="G148" s="206">
        <v>0.77</v>
      </c>
      <c r="H148" s="206">
        <v>0.7</v>
      </c>
      <c r="I148" s="274">
        <v>87</v>
      </c>
      <c r="J148" s="274">
        <v>72</v>
      </c>
      <c r="K148" s="275">
        <v>1.7</v>
      </c>
      <c r="L148" s="275">
        <v>2.8</v>
      </c>
      <c r="M148" s="221">
        <v>47</v>
      </c>
      <c r="N148" s="125"/>
      <c r="O148" s="125"/>
    </row>
    <row r="149" spans="1:15" hidden="1" outlineLevel="1" x14ac:dyDescent="0.25">
      <c r="A149" s="85"/>
      <c r="B149" s="210"/>
      <c r="C149" s="221" t="s">
        <v>300</v>
      </c>
      <c r="D149" s="274">
        <v>33</v>
      </c>
      <c r="E149" s="206">
        <v>1.3</v>
      </c>
      <c r="F149" s="206">
        <v>1.08</v>
      </c>
      <c r="G149" s="206">
        <v>0.84</v>
      </c>
      <c r="H149" s="206">
        <v>0.78</v>
      </c>
      <c r="I149" s="510">
        <v>103</v>
      </c>
      <c r="J149" s="510">
        <v>78</v>
      </c>
      <c r="K149" s="275">
        <v>1.7</v>
      </c>
      <c r="L149" s="275">
        <v>2.8</v>
      </c>
      <c r="M149" s="221">
        <v>46</v>
      </c>
      <c r="N149" s="125"/>
      <c r="O149" s="125"/>
    </row>
    <row r="150" spans="1:15" hidden="1" outlineLevel="1" x14ac:dyDescent="0.25">
      <c r="A150" s="85"/>
      <c r="B150" s="210"/>
      <c r="C150" s="221" t="s">
        <v>302</v>
      </c>
      <c r="D150" s="274" t="s">
        <v>238</v>
      </c>
      <c r="E150" s="206" t="s">
        <v>238</v>
      </c>
      <c r="F150" s="206" t="s">
        <v>238</v>
      </c>
      <c r="G150" s="206" t="s">
        <v>238</v>
      </c>
      <c r="H150" s="206" t="s">
        <v>238</v>
      </c>
      <c r="I150" s="512" t="s">
        <v>238</v>
      </c>
      <c r="J150" s="512" t="s">
        <v>238</v>
      </c>
      <c r="K150" s="512" t="s">
        <v>238</v>
      </c>
      <c r="L150" s="512" t="s">
        <v>238</v>
      </c>
      <c r="M150" s="221">
        <v>48</v>
      </c>
      <c r="N150" s="125"/>
      <c r="O150" s="125"/>
    </row>
    <row r="151" spans="1:15" hidden="1" outlineLevel="1" x14ac:dyDescent="0.25">
      <c r="A151" s="85"/>
      <c r="B151" s="210"/>
      <c r="C151" s="221" t="s">
        <v>303</v>
      </c>
      <c r="D151" s="274">
        <v>33</v>
      </c>
      <c r="E151" s="206">
        <v>1.46</v>
      </c>
      <c r="F151" s="206">
        <v>1.1399999999999999</v>
      </c>
      <c r="G151" s="206">
        <v>0.76</v>
      </c>
      <c r="H151" s="206">
        <v>0.69</v>
      </c>
      <c r="I151" s="274">
        <v>80</v>
      </c>
      <c r="J151" s="274">
        <v>72</v>
      </c>
      <c r="K151" s="275">
        <v>1.7</v>
      </c>
      <c r="L151" s="275">
        <v>2.8</v>
      </c>
      <c r="M151" s="221">
        <v>49</v>
      </c>
      <c r="N151" s="125"/>
      <c r="O151" s="125"/>
    </row>
    <row r="152" spans="1:15" hidden="1" outlineLevel="1" x14ac:dyDescent="0.25">
      <c r="A152" s="85"/>
      <c r="B152" s="210"/>
      <c r="C152" s="221" t="s">
        <v>297</v>
      </c>
      <c r="D152" s="274">
        <v>21</v>
      </c>
      <c r="E152" s="206">
        <v>1.29</v>
      </c>
      <c r="F152" s="206">
        <v>1.33</v>
      </c>
      <c r="G152" s="206">
        <v>0.86</v>
      </c>
      <c r="H152" s="206">
        <v>0.79</v>
      </c>
      <c r="I152" s="274">
        <v>82</v>
      </c>
      <c r="J152" s="274">
        <v>56</v>
      </c>
      <c r="K152" s="275">
        <v>1</v>
      </c>
      <c r="L152" s="275">
        <v>2.8</v>
      </c>
      <c r="M152" s="221">
        <v>43</v>
      </c>
      <c r="N152" s="125"/>
      <c r="O152" s="125"/>
    </row>
    <row r="153" spans="1:15" s="216" customFormat="1" hidden="1" outlineLevel="1" x14ac:dyDescent="0.25">
      <c r="A153" s="85"/>
      <c r="B153" s="210"/>
      <c r="C153" s="221" t="s">
        <v>296</v>
      </c>
      <c r="D153" s="274">
        <v>21</v>
      </c>
      <c r="E153" s="206">
        <v>1.24</v>
      </c>
      <c r="F153" s="206">
        <v>1.28</v>
      </c>
      <c r="G153" s="206">
        <v>0.93</v>
      </c>
      <c r="H153" s="206">
        <v>0.88</v>
      </c>
      <c r="I153" s="510">
        <v>93</v>
      </c>
      <c r="J153" s="510">
        <v>60</v>
      </c>
      <c r="K153" s="275">
        <v>1.7</v>
      </c>
      <c r="L153" s="275">
        <v>2.8</v>
      </c>
      <c r="M153" s="221">
        <v>42</v>
      </c>
      <c r="N153" s="125"/>
      <c r="O153" s="125"/>
    </row>
    <row r="154" spans="1:15" hidden="1" outlineLevel="1" x14ac:dyDescent="0.25">
      <c r="A154" s="85"/>
      <c r="B154" s="210"/>
      <c r="C154" s="221" t="s">
        <v>298</v>
      </c>
      <c r="D154" s="274" t="s">
        <v>238</v>
      </c>
      <c r="E154" s="206" t="s">
        <v>238</v>
      </c>
      <c r="F154" s="206" t="s">
        <v>238</v>
      </c>
      <c r="G154" s="206" t="s">
        <v>238</v>
      </c>
      <c r="H154" s="206" t="s">
        <v>238</v>
      </c>
      <c r="I154" s="512" t="s">
        <v>238</v>
      </c>
      <c r="J154" s="512" t="s">
        <v>238</v>
      </c>
      <c r="K154" s="512" t="s">
        <v>238</v>
      </c>
      <c r="L154" s="512" t="s">
        <v>238</v>
      </c>
      <c r="M154" s="221">
        <v>44</v>
      </c>
      <c r="N154" s="125"/>
      <c r="O154" s="125"/>
    </row>
    <row r="155" spans="1:15" hidden="1" outlineLevel="1" x14ac:dyDescent="0.25">
      <c r="A155" s="85"/>
      <c r="B155" s="210"/>
      <c r="C155" s="221" t="s">
        <v>299</v>
      </c>
      <c r="D155" s="510">
        <v>21</v>
      </c>
      <c r="E155" s="512">
        <v>1.21</v>
      </c>
      <c r="F155" s="512">
        <v>1.1599999999999999</v>
      </c>
      <c r="G155" s="512">
        <v>0.82</v>
      </c>
      <c r="H155" s="512">
        <v>0.74</v>
      </c>
      <c r="I155" s="510">
        <v>91</v>
      </c>
      <c r="J155" s="510">
        <v>86</v>
      </c>
      <c r="K155" s="275">
        <v>1.7</v>
      </c>
      <c r="L155" s="275">
        <v>2.8</v>
      </c>
      <c r="M155" s="221">
        <v>45</v>
      </c>
      <c r="N155" s="125"/>
      <c r="O155" s="125"/>
    </row>
    <row r="156" spans="1:15" hidden="1" outlineLevel="1" x14ac:dyDescent="0.25">
      <c r="A156" s="85"/>
      <c r="B156" s="210"/>
      <c r="C156" s="221" t="s">
        <v>258</v>
      </c>
      <c r="D156" s="202">
        <v>85</v>
      </c>
      <c r="E156" s="512">
        <v>1.28</v>
      </c>
      <c r="F156" s="512">
        <v>1.1599999999999999</v>
      </c>
      <c r="G156" s="512">
        <v>0.6</v>
      </c>
      <c r="H156" s="512">
        <v>0.5</v>
      </c>
      <c r="I156" s="202">
        <v>119</v>
      </c>
      <c r="J156" s="202">
        <v>86</v>
      </c>
      <c r="K156" s="204">
        <v>1.3</v>
      </c>
      <c r="L156" s="204">
        <v>4.3</v>
      </c>
      <c r="M156" s="221">
        <v>149</v>
      </c>
      <c r="N156" s="125"/>
      <c r="O156" s="125"/>
    </row>
    <row r="157" spans="1:15" hidden="1" outlineLevel="1" x14ac:dyDescent="0.25">
      <c r="A157" s="85"/>
      <c r="B157" s="210"/>
      <c r="C157" s="221" t="s">
        <v>257</v>
      </c>
      <c r="D157" s="202">
        <v>85</v>
      </c>
      <c r="E157" s="206">
        <v>1.18</v>
      </c>
      <c r="F157" s="206">
        <v>1.06</v>
      </c>
      <c r="G157" s="206">
        <v>0.68</v>
      </c>
      <c r="H157" s="206">
        <v>0.57999999999999996</v>
      </c>
      <c r="I157" s="202">
        <v>122</v>
      </c>
      <c r="J157" s="202">
        <v>92</v>
      </c>
      <c r="K157" s="204">
        <v>1.3</v>
      </c>
      <c r="L157" s="204">
        <v>4.3</v>
      </c>
      <c r="M157" s="221">
        <v>145</v>
      </c>
      <c r="N157" s="125"/>
      <c r="O157" s="125"/>
    </row>
    <row r="158" spans="1:15" hidden="1" outlineLevel="1" x14ac:dyDescent="0.25">
      <c r="A158" s="85"/>
      <c r="B158" s="210"/>
      <c r="C158" s="221" t="s">
        <v>358</v>
      </c>
      <c r="D158" s="202">
        <v>85</v>
      </c>
      <c r="E158" s="206">
        <v>1.52</v>
      </c>
      <c r="F158" s="206">
        <v>1.2</v>
      </c>
      <c r="G158" s="206">
        <v>0.64</v>
      </c>
      <c r="H158" s="206">
        <v>0.55000000000000004</v>
      </c>
      <c r="I158" s="202">
        <v>65</v>
      </c>
      <c r="J158" s="202">
        <v>74</v>
      </c>
      <c r="K158" s="204">
        <v>1.6</v>
      </c>
      <c r="L158" s="204">
        <v>1.1000000000000001</v>
      </c>
      <c r="M158" s="221">
        <v>99</v>
      </c>
      <c r="N158" s="125"/>
      <c r="O158" s="125"/>
    </row>
    <row r="159" spans="1:15" hidden="1" outlineLevel="1" x14ac:dyDescent="0.25">
      <c r="A159" s="85"/>
      <c r="B159" s="210"/>
      <c r="C159" s="221" t="s">
        <v>357</v>
      </c>
      <c r="D159" s="202">
        <v>85</v>
      </c>
      <c r="E159" s="206" t="s">
        <v>238</v>
      </c>
      <c r="F159" s="206" t="s">
        <v>238</v>
      </c>
      <c r="G159" s="206" t="s">
        <v>238</v>
      </c>
      <c r="H159" s="206" t="s">
        <v>238</v>
      </c>
      <c r="I159" s="512" t="s">
        <v>238</v>
      </c>
      <c r="J159" s="512" t="s">
        <v>238</v>
      </c>
      <c r="K159" s="512" t="s">
        <v>238</v>
      </c>
      <c r="L159" s="512" t="s">
        <v>238</v>
      </c>
      <c r="M159" s="221">
        <v>98</v>
      </c>
      <c r="N159" s="125"/>
      <c r="O159" s="125"/>
    </row>
    <row r="160" spans="1:15" hidden="1" outlineLevel="1" x14ac:dyDescent="0.25">
      <c r="A160" s="85"/>
      <c r="B160" s="210"/>
      <c r="C160" s="221" t="s">
        <v>359</v>
      </c>
      <c r="D160" s="202">
        <v>85</v>
      </c>
      <c r="E160" s="206">
        <v>1.82</v>
      </c>
      <c r="F160" s="206">
        <v>1.36</v>
      </c>
      <c r="G160" s="206">
        <v>0.55000000000000004</v>
      </c>
      <c r="H160" s="206">
        <v>0.45</v>
      </c>
      <c r="I160" s="202">
        <v>56</v>
      </c>
      <c r="J160" s="202">
        <v>65</v>
      </c>
      <c r="K160" s="204">
        <v>1.4</v>
      </c>
      <c r="L160" s="204">
        <v>1.1000000000000001</v>
      </c>
      <c r="M160" s="221">
        <v>100</v>
      </c>
      <c r="N160" s="125"/>
      <c r="O160" s="125"/>
    </row>
    <row r="161" spans="1:15" hidden="1" outlineLevel="1" x14ac:dyDescent="0.25">
      <c r="A161" s="85"/>
      <c r="B161" s="210"/>
      <c r="C161" s="221" t="s">
        <v>360</v>
      </c>
      <c r="D161" s="202">
        <v>85</v>
      </c>
      <c r="E161" s="206">
        <v>1.45</v>
      </c>
      <c r="F161" s="206">
        <v>1.1499999999999999</v>
      </c>
      <c r="G161" s="206">
        <v>0.67</v>
      </c>
      <c r="H161" s="206">
        <v>0.57999999999999996</v>
      </c>
      <c r="I161" s="202">
        <v>80</v>
      </c>
      <c r="J161" s="202">
        <v>82</v>
      </c>
      <c r="K161" s="204">
        <v>1.9</v>
      </c>
      <c r="L161" s="204">
        <v>1.4</v>
      </c>
      <c r="M161" s="221">
        <v>101</v>
      </c>
      <c r="N161" s="125"/>
      <c r="O161" s="125"/>
    </row>
    <row r="162" spans="1:15" hidden="1" outlineLevel="1" x14ac:dyDescent="0.25">
      <c r="A162" s="85"/>
      <c r="B162" s="210"/>
      <c r="C162" s="221" t="s">
        <v>354</v>
      </c>
      <c r="D162" s="202">
        <v>85</v>
      </c>
      <c r="E162" s="206">
        <v>1.4</v>
      </c>
      <c r="F162" s="206">
        <v>1.1100000000000001</v>
      </c>
      <c r="G162" s="206">
        <v>0.66</v>
      </c>
      <c r="H162" s="206">
        <v>0.57999999999999996</v>
      </c>
      <c r="I162" s="202">
        <v>69</v>
      </c>
      <c r="J162" s="202">
        <v>76</v>
      </c>
      <c r="K162" s="204">
        <v>1.6</v>
      </c>
      <c r="L162" s="204">
        <v>1.1000000000000001</v>
      </c>
      <c r="M162" s="221">
        <v>95</v>
      </c>
      <c r="N162" s="125"/>
      <c r="O162" s="125"/>
    </row>
    <row r="163" spans="1:15" hidden="1" outlineLevel="1" x14ac:dyDescent="0.25">
      <c r="A163" s="85"/>
      <c r="B163" s="210"/>
      <c r="C163" s="221" t="s">
        <v>353</v>
      </c>
      <c r="D163" s="202">
        <v>85</v>
      </c>
      <c r="E163" s="206" t="s">
        <v>238</v>
      </c>
      <c r="F163" s="206" t="s">
        <v>238</v>
      </c>
      <c r="G163" s="206" t="s">
        <v>238</v>
      </c>
      <c r="H163" s="206" t="s">
        <v>238</v>
      </c>
      <c r="I163" s="512" t="s">
        <v>238</v>
      </c>
      <c r="J163" s="512" t="s">
        <v>238</v>
      </c>
      <c r="K163" s="512" t="s">
        <v>238</v>
      </c>
      <c r="L163" s="512" t="s">
        <v>238</v>
      </c>
      <c r="M163" s="221">
        <v>94</v>
      </c>
      <c r="N163" s="125"/>
      <c r="O163" s="125"/>
    </row>
    <row r="164" spans="1:15" hidden="1" outlineLevel="1" x14ac:dyDescent="0.25">
      <c r="A164" s="85"/>
      <c r="B164" s="210"/>
      <c r="C164" s="221" t="s">
        <v>355</v>
      </c>
      <c r="D164" s="202">
        <v>85</v>
      </c>
      <c r="E164" s="206">
        <v>1.64</v>
      </c>
      <c r="F164" s="206">
        <v>1.27</v>
      </c>
      <c r="G164" s="206">
        <v>0.56999999999999995</v>
      </c>
      <c r="H164" s="206">
        <v>0.47</v>
      </c>
      <c r="I164" s="202">
        <v>59</v>
      </c>
      <c r="J164" s="202">
        <v>68</v>
      </c>
      <c r="K164" s="204">
        <v>1.4</v>
      </c>
      <c r="L164" s="204">
        <v>1.1000000000000001</v>
      </c>
      <c r="M164" s="221">
        <v>96</v>
      </c>
      <c r="N164" s="125"/>
      <c r="O164" s="125"/>
    </row>
    <row r="165" spans="1:15" hidden="1" outlineLevel="1" x14ac:dyDescent="0.25">
      <c r="A165" s="85"/>
      <c r="B165" s="210"/>
      <c r="C165" s="221" t="s">
        <v>356</v>
      </c>
      <c r="D165" s="202">
        <v>85</v>
      </c>
      <c r="E165" s="512">
        <v>1.33</v>
      </c>
      <c r="F165" s="512">
        <v>1.06</v>
      </c>
      <c r="G165" s="512">
        <v>0.69</v>
      </c>
      <c r="H165" s="512">
        <v>0.61</v>
      </c>
      <c r="I165" s="202">
        <v>84</v>
      </c>
      <c r="J165" s="202">
        <v>85</v>
      </c>
      <c r="K165" s="204">
        <v>1.9</v>
      </c>
      <c r="L165" s="204">
        <v>1.4</v>
      </c>
      <c r="M165" s="221">
        <v>97</v>
      </c>
      <c r="N165" s="125"/>
      <c r="O165" s="125"/>
    </row>
    <row r="166" spans="1:15" hidden="1" outlineLevel="1" x14ac:dyDescent="0.25">
      <c r="A166" s="85"/>
      <c r="B166" s="210"/>
      <c r="C166" s="221" t="s">
        <v>350</v>
      </c>
      <c r="D166" s="202">
        <v>85</v>
      </c>
      <c r="E166" s="512">
        <v>1.3</v>
      </c>
      <c r="F166" s="512">
        <v>1.1100000000000001</v>
      </c>
      <c r="G166" s="512">
        <v>0.67</v>
      </c>
      <c r="H166" s="512">
        <v>0.57999999999999996</v>
      </c>
      <c r="I166" s="202">
        <v>69</v>
      </c>
      <c r="J166" s="202">
        <v>77</v>
      </c>
      <c r="K166" s="204">
        <v>1.6</v>
      </c>
      <c r="L166" s="204">
        <v>1.1000000000000001</v>
      </c>
      <c r="M166" s="221">
        <v>91</v>
      </c>
      <c r="N166" s="125"/>
      <c r="O166" s="125"/>
    </row>
    <row r="167" spans="1:15" hidden="1" outlineLevel="1" x14ac:dyDescent="0.25">
      <c r="A167" s="85"/>
      <c r="B167" s="210"/>
      <c r="C167" s="221" t="s">
        <v>349</v>
      </c>
      <c r="D167" s="202">
        <v>85</v>
      </c>
      <c r="E167" s="512">
        <v>1.22</v>
      </c>
      <c r="F167" s="512">
        <v>1.04</v>
      </c>
      <c r="G167" s="512">
        <v>0.73</v>
      </c>
      <c r="H167" s="512">
        <v>0.65</v>
      </c>
      <c r="I167" s="202">
        <v>89</v>
      </c>
      <c r="J167" s="202">
        <v>87</v>
      </c>
      <c r="K167" s="204">
        <v>1.7</v>
      </c>
      <c r="L167" s="204">
        <v>1.1000000000000001</v>
      </c>
      <c r="M167" s="221">
        <v>90</v>
      </c>
      <c r="N167" s="125"/>
      <c r="O167" s="125"/>
    </row>
    <row r="168" spans="1:15" hidden="1" outlineLevel="1" x14ac:dyDescent="0.25">
      <c r="A168" s="85"/>
      <c r="B168" s="210"/>
      <c r="C168" s="221" t="s">
        <v>351</v>
      </c>
      <c r="D168" s="202" t="s">
        <v>238</v>
      </c>
      <c r="E168" s="203" t="s">
        <v>238</v>
      </c>
      <c r="F168" s="203" t="s">
        <v>238</v>
      </c>
      <c r="G168" s="203" t="s">
        <v>238</v>
      </c>
      <c r="H168" s="203" t="s">
        <v>238</v>
      </c>
      <c r="I168" s="202" t="s">
        <v>238</v>
      </c>
      <c r="J168" s="202" t="s">
        <v>238</v>
      </c>
      <c r="K168" s="204" t="s">
        <v>238</v>
      </c>
      <c r="L168" s="204" t="s">
        <v>238</v>
      </c>
      <c r="M168" s="221">
        <v>92</v>
      </c>
      <c r="N168" s="125"/>
      <c r="O168" s="125"/>
    </row>
    <row r="169" spans="1:15" hidden="1" outlineLevel="1" x14ac:dyDescent="0.25">
      <c r="A169" s="85"/>
      <c r="B169" s="210"/>
      <c r="C169" s="221" t="s">
        <v>352</v>
      </c>
      <c r="D169" s="202" t="s">
        <v>238</v>
      </c>
      <c r="E169" s="203" t="s">
        <v>238</v>
      </c>
      <c r="F169" s="203" t="s">
        <v>238</v>
      </c>
      <c r="G169" s="203" t="s">
        <v>238</v>
      </c>
      <c r="H169" s="203" t="s">
        <v>238</v>
      </c>
      <c r="I169" s="202" t="s">
        <v>238</v>
      </c>
      <c r="J169" s="202" t="s">
        <v>238</v>
      </c>
      <c r="K169" s="204" t="s">
        <v>238</v>
      </c>
      <c r="L169" s="204" t="s">
        <v>238</v>
      </c>
      <c r="M169" s="221">
        <v>93</v>
      </c>
      <c r="N169" s="125"/>
      <c r="O169" s="125"/>
    </row>
    <row r="170" spans="1:15" hidden="1" outlineLevel="1" x14ac:dyDescent="0.25">
      <c r="A170" s="85"/>
      <c r="B170" s="210"/>
      <c r="C170" s="221" t="s">
        <v>422</v>
      </c>
      <c r="D170" s="202">
        <v>85</v>
      </c>
      <c r="E170" s="206">
        <v>1.34</v>
      </c>
      <c r="F170" s="206">
        <v>1.1499999999999999</v>
      </c>
      <c r="G170" s="206">
        <v>0.55000000000000004</v>
      </c>
      <c r="H170" s="206">
        <v>0.44</v>
      </c>
      <c r="I170" s="202">
        <v>103</v>
      </c>
      <c r="J170" s="202">
        <v>81</v>
      </c>
      <c r="K170" s="204">
        <v>1.3</v>
      </c>
      <c r="L170" s="204">
        <v>3.8</v>
      </c>
      <c r="M170" s="221">
        <v>147</v>
      </c>
      <c r="N170" s="125"/>
      <c r="O170" s="125"/>
    </row>
    <row r="171" spans="1:15" hidden="1" outlineLevel="1" x14ac:dyDescent="0.25">
      <c r="A171" s="85"/>
      <c r="B171" s="210"/>
      <c r="C171" s="221" t="s">
        <v>421</v>
      </c>
      <c r="D171" s="202">
        <v>85</v>
      </c>
      <c r="E171" s="512">
        <v>1.3</v>
      </c>
      <c r="F171" s="512">
        <v>1.1399999999999999</v>
      </c>
      <c r="G171" s="512">
        <v>0.6</v>
      </c>
      <c r="H171" s="512">
        <v>0.49</v>
      </c>
      <c r="I171" s="202">
        <v>111</v>
      </c>
      <c r="J171" s="202">
        <v>86</v>
      </c>
      <c r="K171" s="204">
        <v>1.4</v>
      </c>
      <c r="L171" s="204">
        <v>3.8</v>
      </c>
      <c r="M171" s="221">
        <v>146</v>
      </c>
      <c r="N171" s="125"/>
      <c r="O171" s="125"/>
    </row>
    <row r="172" spans="1:15" hidden="1" outlineLevel="1" x14ac:dyDescent="0.25">
      <c r="A172" s="85"/>
      <c r="B172" s="210"/>
      <c r="C172" s="221" t="s">
        <v>424</v>
      </c>
      <c r="D172" s="202" t="s">
        <v>238</v>
      </c>
      <c r="E172" s="202" t="s">
        <v>238</v>
      </c>
      <c r="F172" s="202" t="s">
        <v>238</v>
      </c>
      <c r="G172" s="202" t="s">
        <v>238</v>
      </c>
      <c r="H172" s="202" t="s">
        <v>238</v>
      </c>
      <c r="I172" s="202" t="s">
        <v>238</v>
      </c>
      <c r="J172" s="202" t="s">
        <v>238</v>
      </c>
      <c r="K172" s="202" t="s">
        <v>238</v>
      </c>
      <c r="L172" s="202" t="s">
        <v>238</v>
      </c>
      <c r="M172" s="221">
        <v>149</v>
      </c>
      <c r="N172" s="125"/>
      <c r="O172" s="125"/>
    </row>
    <row r="173" spans="1:15" hidden="1" outlineLevel="1" x14ac:dyDescent="0.25">
      <c r="A173" s="85"/>
      <c r="B173" s="210"/>
      <c r="C173" s="221" t="s">
        <v>423</v>
      </c>
      <c r="D173" s="202">
        <v>85</v>
      </c>
      <c r="E173" s="512">
        <v>1.27</v>
      </c>
      <c r="F173" s="512">
        <v>1.1399999999999999</v>
      </c>
      <c r="G173" s="512">
        <v>0.59</v>
      </c>
      <c r="H173" s="512">
        <v>0.49</v>
      </c>
      <c r="I173" s="202">
        <v>111</v>
      </c>
      <c r="J173" s="202">
        <v>74</v>
      </c>
      <c r="K173" s="204">
        <v>1.3</v>
      </c>
      <c r="L173" s="204">
        <v>3.3</v>
      </c>
      <c r="M173" s="221">
        <v>148</v>
      </c>
      <c r="N173" s="125"/>
      <c r="O173" s="125"/>
    </row>
    <row r="174" spans="1:15" hidden="1" outlineLevel="1" x14ac:dyDescent="0.25">
      <c r="A174" s="85"/>
      <c r="B174" s="210"/>
      <c r="C174" s="221" t="s">
        <v>402</v>
      </c>
      <c r="D174" s="202">
        <v>85</v>
      </c>
      <c r="E174" s="206">
        <v>1.23</v>
      </c>
      <c r="F174" s="206">
        <v>1.05</v>
      </c>
      <c r="G174" s="206">
        <v>0.62</v>
      </c>
      <c r="H174" s="206">
        <v>0.52</v>
      </c>
      <c r="I174" s="202">
        <v>107</v>
      </c>
      <c r="J174" s="202">
        <v>87</v>
      </c>
      <c r="K174" s="204">
        <v>1.3</v>
      </c>
      <c r="L174" s="204">
        <v>3.8</v>
      </c>
      <c r="M174" s="221">
        <v>143</v>
      </c>
      <c r="N174" s="125"/>
      <c r="O174" s="125"/>
    </row>
    <row r="175" spans="1:15" hidden="1" outlineLevel="1" x14ac:dyDescent="0.25">
      <c r="A175" s="85"/>
      <c r="B175" s="210"/>
      <c r="C175" s="221" t="s">
        <v>401</v>
      </c>
      <c r="D175" s="202">
        <v>85</v>
      </c>
      <c r="E175" s="512">
        <v>1.2</v>
      </c>
      <c r="F175" s="512">
        <v>1.04</v>
      </c>
      <c r="G175" s="512">
        <v>0.67</v>
      </c>
      <c r="H175" s="512">
        <v>0.57999999999999996</v>
      </c>
      <c r="I175" s="202">
        <v>114</v>
      </c>
      <c r="J175" s="202">
        <v>91</v>
      </c>
      <c r="K175" s="204">
        <v>1.4</v>
      </c>
      <c r="L175" s="204">
        <v>3.8</v>
      </c>
      <c r="M175" s="221">
        <v>142</v>
      </c>
      <c r="N175" s="125"/>
      <c r="O175" s="125"/>
    </row>
    <row r="176" spans="1:15" hidden="1" outlineLevel="1" x14ac:dyDescent="0.25">
      <c r="A176" s="85"/>
      <c r="B176" s="210"/>
      <c r="C176" s="221" t="s">
        <v>403</v>
      </c>
      <c r="D176" s="202" t="s">
        <v>238</v>
      </c>
      <c r="E176" s="202" t="s">
        <v>238</v>
      </c>
      <c r="F176" s="202" t="s">
        <v>238</v>
      </c>
      <c r="G176" s="202" t="s">
        <v>238</v>
      </c>
      <c r="H176" s="202" t="s">
        <v>238</v>
      </c>
      <c r="I176" s="202" t="s">
        <v>238</v>
      </c>
      <c r="J176" s="202" t="s">
        <v>238</v>
      </c>
      <c r="K176" s="202" t="s">
        <v>238</v>
      </c>
      <c r="L176" s="202" t="s">
        <v>238</v>
      </c>
      <c r="M176" s="221">
        <v>145</v>
      </c>
      <c r="N176" s="125"/>
      <c r="O176" s="125"/>
    </row>
    <row r="177" spans="1:15" hidden="1" outlineLevel="1" x14ac:dyDescent="0.25">
      <c r="A177" s="85"/>
      <c r="B177" s="210"/>
      <c r="C177" s="221" t="s">
        <v>420</v>
      </c>
      <c r="D177" s="202">
        <v>85</v>
      </c>
      <c r="E177" s="512">
        <v>1.17</v>
      </c>
      <c r="F177" s="512">
        <v>1.04</v>
      </c>
      <c r="G177" s="512">
        <v>0.67</v>
      </c>
      <c r="H177" s="512">
        <v>0.56999999999999995</v>
      </c>
      <c r="I177" s="202">
        <v>115</v>
      </c>
      <c r="J177" s="202">
        <v>90</v>
      </c>
      <c r="K177" s="204">
        <v>1.3</v>
      </c>
      <c r="L177" s="204">
        <v>3.3</v>
      </c>
      <c r="M177" s="221">
        <v>144</v>
      </c>
      <c r="N177" s="125"/>
      <c r="O177" s="125"/>
    </row>
    <row r="178" spans="1:15" hidden="1" outlineLevel="1" x14ac:dyDescent="0.25">
      <c r="A178" s="85"/>
      <c r="B178" s="210"/>
      <c r="C178" s="221" t="s">
        <v>398</v>
      </c>
      <c r="D178" s="202">
        <v>85</v>
      </c>
      <c r="E178" s="512">
        <v>1.1399999999999999</v>
      </c>
      <c r="F178" s="512">
        <v>0.95</v>
      </c>
      <c r="G178" s="512">
        <v>0.66</v>
      </c>
      <c r="H178" s="512">
        <v>0.56000000000000005</v>
      </c>
      <c r="I178" s="202">
        <v>113</v>
      </c>
      <c r="J178" s="202">
        <v>91</v>
      </c>
      <c r="K178" s="204">
        <v>1.4</v>
      </c>
      <c r="L178" s="204">
        <v>3.8</v>
      </c>
      <c r="M178" s="221">
        <v>139</v>
      </c>
      <c r="N178" s="125"/>
      <c r="O178" s="125"/>
    </row>
    <row r="179" spans="1:15" ht="15" hidden="1" customHeight="1" outlineLevel="1" x14ac:dyDescent="0.25">
      <c r="A179" s="85"/>
      <c r="B179" s="220"/>
      <c r="C179" s="221" t="s">
        <v>397</v>
      </c>
      <c r="D179" s="202">
        <v>85</v>
      </c>
      <c r="E179" s="512">
        <v>1.1000000000000001</v>
      </c>
      <c r="F179" s="512">
        <v>0.92</v>
      </c>
      <c r="G179" s="512">
        <v>0.71</v>
      </c>
      <c r="H179" s="512">
        <v>0.63</v>
      </c>
      <c r="I179" s="202">
        <v>122</v>
      </c>
      <c r="J179" s="202">
        <v>96</v>
      </c>
      <c r="K179" s="204">
        <v>1.4</v>
      </c>
      <c r="L179" s="204">
        <v>3.8</v>
      </c>
      <c r="M179" s="221">
        <v>138</v>
      </c>
      <c r="N179" s="125"/>
      <c r="O179" s="125"/>
    </row>
    <row r="180" spans="1:15" hidden="1" outlineLevel="1" x14ac:dyDescent="0.25">
      <c r="A180" s="85"/>
      <c r="B180" s="220"/>
      <c r="C180" s="221" t="s">
        <v>399</v>
      </c>
      <c r="D180" s="202" t="s">
        <v>238</v>
      </c>
      <c r="E180" s="203" t="s">
        <v>238</v>
      </c>
      <c r="F180" s="203" t="s">
        <v>238</v>
      </c>
      <c r="G180" s="203" t="s">
        <v>238</v>
      </c>
      <c r="H180" s="203" t="s">
        <v>238</v>
      </c>
      <c r="I180" s="202" t="s">
        <v>238</v>
      </c>
      <c r="J180" s="202" t="s">
        <v>238</v>
      </c>
      <c r="K180" s="204" t="s">
        <v>238</v>
      </c>
      <c r="L180" s="204" t="s">
        <v>238</v>
      </c>
      <c r="M180" s="221">
        <v>140</v>
      </c>
      <c r="N180" s="125"/>
      <c r="O180" s="125"/>
    </row>
    <row r="181" spans="1:15" hidden="1" outlineLevel="1" x14ac:dyDescent="0.25">
      <c r="A181" s="85"/>
      <c r="B181" s="220"/>
      <c r="C181" s="221" t="s">
        <v>400</v>
      </c>
      <c r="D181" s="202" t="s">
        <v>238</v>
      </c>
      <c r="E181" s="203" t="s">
        <v>238</v>
      </c>
      <c r="F181" s="203" t="s">
        <v>238</v>
      </c>
      <c r="G181" s="203" t="s">
        <v>238</v>
      </c>
      <c r="H181" s="203" t="s">
        <v>238</v>
      </c>
      <c r="I181" s="202" t="s">
        <v>238</v>
      </c>
      <c r="J181" s="202" t="s">
        <v>238</v>
      </c>
      <c r="K181" s="204" t="s">
        <v>238</v>
      </c>
      <c r="L181" s="204" t="s">
        <v>238</v>
      </c>
      <c r="M181" s="221">
        <v>141</v>
      </c>
      <c r="N181" s="125"/>
      <c r="O181" s="125"/>
    </row>
    <row r="182" spans="1:15" hidden="1" outlineLevel="1" x14ac:dyDescent="0.25">
      <c r="A182" s="85"/>
      <c r="B182" s="220"/>
      <c r="C182" s="221" t="s">
        <v>370</v>
      </c>
      <c r="D182" s="202">
        <v>85</v>
      </c>
      <c r="E182" s="512">
        <v>1.4</v>
      </c>
      <c r="F182" s="512">
        <v>1.1599999999999999</v>
      </c>
      <c r="G182" s="512">
        <v>0.66</v>
      </c>
      <c r="H182" s="512">
        <v>0.56000000000000005</v>
      </c>
      <c r="I182" s="202">
        <v>99</v>
      </c>
      <c r="J182" s="202">
        <v>86</v>
      </c>
      <c r="K182" s="204">
        <v>1.4</v>
      </c>
      <c r="L182" s="204">
        <v>2.2999999999999998</v>
      </c>
      <c r="M182" s="221">
        <v>111</v>
      </c>
      <c r="N182" s="125"/>
      <c r="O182" s="125"/>
    </row>
    <row r="183" spans="1:15" hidden="1" outlineLevel="1" x14ac:dyDescent="0.25">
      <c r="A183" s="85"/>
      <c r="B183" s="220"/>
      <c r="C183" s="221" t="s">
        <v>369</v>
      </c>
      <c r="D183" s="202" t="s">
        <v>238</v>
      </c>
      <c r="E183" s="203" t="s">
        <v>238</v>
      </c>
      <c r="F183" s="203" t="s">
        <v>238</v>
      </c>
      <c r="G183" s="203" t="s">
        <v>238</v>
      </c>
      <c r="H183" s="203" t="s">
        <v>238</v>
      </c>
      <c r="I183" s="202" t="s">
        <v>238</v>
      </c>
      <c r="J183" s="202" t="s">
        <v>238</v>
      </c>
      <c r="K183" s="204" t="s">
        <v>238</v>
      </c>
      <c r="L183" s="204" t="s">
        <v>238</v>
      </c>
      <c r="M183" s="221">
        <v>110</v>
      </c>
      <c r="N183" s="125"/>
      <c r="O183" s="125"/>
    </row>
    <row r="184" spans="1:15" hidden="1" outlineLevel="1" x14ac:dyDescent="0.25">
      <c r="A184" s="85"/>
      <c r="B184" s="220"/>
      <c r="C184" s="221" t="s">
        <v>371</v>
      </c>
      <c r="D184" s="202">
        <v>85</v>
      </c>
      <c r="E184" s="512">
        <v>1.6</v>
      </c>
      <c r="F184" s="512">
        <v>1.27</v>
      </c>
      <c r="G184" s="512">
        <v>0.56999999999999995</v>
      </c>
      <c r="H184" s="512">
        <v>0.46</v>
      </c>
      <c r="I184" s="202">
        <v>80</v>
      </c>
      <c r="J184" s="202">
        <v>74</v>
      </c>
      <c r="K184" s="204">
        <v>1.2</v>
      </c>
      <c r="L184" s="204">
        <v>2.2999999999999998</v>
      </c>
      <c r="M184" s="221">
        <v>112</v>
      </c>
      <c r="N184" s="125"/>
      <c r="O184" s="125"/>
    </row>
    <row r="185" spans="1:15" hidden="1" outlineLevel="1" x14ac:dyDescent="0.25">
      <c r="A185" s="85"/>
      <c r="B185" s="220"/>
      <c r="C185" s="221" t="s">
        <v>372</v>
      </c>
      <c r="D185" s="202">
        <v>85</v>
      </c>
      <c r="E185" s="206">
        <v>1.33</v>
      </c>
      <c r="F185" s="206">
        <v>1.1299999999999999</v>
      </c>
      <c r="G185" s="206">
        <v>0.63</v>
      </c>
      <c r="H185" s="206">
        <v>0.54</v>
      </c>
      <c r="I185" s="202">
        <v>99</v>
      </c>
      <c r="J185" s="202">
        <v>79</v>
      </c>
      <c r="K185" s="204">
        <v>1.4</v>
      </c>
      <c r="L185" s="204">
        <v>2.4</v>
      </c>
      <c r="M185" s="221">
        <v>113</v>
      </c>
      <c r="N185" s="125"/>
      <c r="O185" s="125"/>
    </row>
    <row r="186" spans="1:15" hidden="1" outlineLevel="1" x14ac:dyDescent="0.25">
      <c r="A186" s="85"/>
      <c r="B186" s="220"/>
      <c r="C186" s="221" t="s">
        <v>366</v>
      </c>
      <c r="D186" s="202">
        <v>85</v>
      </c>
      <c r="E186" s="512">
        <v>1.28</v>
      </c>
      <c r="F186" s="512">
        <v>1.06</v>
      </c>
      <c r="G186" s="512">
        <v>0.71</v>
      </c>
      <c r="H186" s="512">
        <v>0.63</v>
      </c>
      <c r="I186" s="202">
        <v>102</v>
      </c>
      <c r="J186" s="202">
        <v>90</v>
      </c>
      <c r="K186" s="204">
        <v>1.4</v>
      </c>
      <c r="L186" s="204">
        <v>2.2999999999999998</v>
      </c>
      <c r="M186" s="221">
        <v>107</v>
      </c>
      <c r="N186" s="125"/>
      <c r="O186" s="125"/>
    </row>
    <row r="187" spans="1:15" hidden="1" outlineLevel="1" x14ac:dyDescent="0.25">
      <c r="A187" s="85"/>
      <c r="B187" s="220"/>
      <c r="C187" s="221" t="s">
        <v>365</v>
      </c>
      <c r="D187" s="202" t="s">
        <v>238</v>
      </c>
      <c r="E187" s="203" t="s">
        <v>238</v>
      </c>
      <c r="F187" s="203" t="s">
        <v>238</v>
      </c>
      <c r="G187" s="203" t="s">
        <v>238</v>
      </c>
      <c r="H187" s="203" t="s">
        <v>238</v>
      </c>
      <c r="I187" s="202" t="s">
        <v>238</v>
      </c>
      <c r="J187" s="202" t="s">
        <v>238</v>
      </c>
      <c r="K187" s="204" t="s">
        <v>238</v>
      </c>
      <c r="L187" s="204" t="s">
        <v>238</v>
      </c>
      <c r="M187" s="221">
        <v>106</v>
      </c>
      <c r="N187" s="125"/>
      <c r="O187" s="125"/>
    </row>
    <row r="188" spans="1:15" hidden="1" outlineLevel="1" x14ac:dyDescent="0.25">
      <c r="A188" s="85"/>
      <c r="B188" s="220"/>
      <c r="C188" s="221" t="s">
        <v>367</v>
      </c>
      <c r="D188" s="202">
        <v>85</v>
      </c>
      <c r="E188" s="206">
        <v>1.45</v>
      </c>
      <c r="F188" s="206">
        <v>1.17</v>
      </c>
      <c r="G188" s="206">
        <v>0.61</v>
      </c>
      <c r="H188" s="206">
        <v>0.51</v>
      </c>
      <c r="I188" s="202">
        <v>83</v>
      </c>
      <c r="J188" s="202">
        <v>79</v>
      </c>
      <c r="K188" s="204">
        <v>1.2</v>
      </c>
      <c r="L188" s="204">
        <v>2.2999999999999998</v>
      </c>
      <c r="M188" s="221">
        <v>108</v>
      </c>
      <c r="N188" s="125"/>
      <c r="O188" s="125"/>
    </row>
    <row r="189" spans="1:15" hidden="1" outlineLevel="1" x14ac:dyDescent="0.25">
      <c r="A189" s="85"/>
      <c r="B189" s="220"/>
      <c r="C189" s="221" t="s">
        <v>368</v>
      </c>
      <c r="D189" s="202">
        <v>85</v>
      </c>
      <c r="E189" s="512">
        <v>1.22</v>
      </c>
      <c r="F189" s="512">
        <v>1.03</v>
      </c>
      <c r="G189" s="512">
        <v>0.68</v>
      </c>
      <c r="H189" s="512">
        <v>0.59</v>
      </c>
      <c r="I189" s="202">
        <v>103</v>
      </c>
      <c r="J189" s="202">
        <v>89</v>
      </c>
      <c r="K189" s="204">
        <v>1.4</v>
      </c>
      <c r="L189" s="204">
        <v>2.4</v>
      </c>
      <c r="M189" s="221">
        <v>109</v>
      </c>
      <c r="N189" s="125"/>
      <c r="O189" s="125"/>
    </row>
    <row r="190" spans="1:15" hidden="1" outlineLevel="1" x14ac:dyDescent="0.25">
      <c r="A190" s="85"/>
      <c r="B190" s="220"/>
      <c r="C190" s="221" t="s">
        <v>362</v>
      </c>
      <c r="D190" s="202">
        <v>85</v>
      </c>
      <c r="E190" s="512">
        <v>1.21</v>
      </c>
      <c r="F190" s="512">
        <v>1.01</v>
      </c>
      <c r="G190" s="512">
        <v>0.71</v>
      </c>
      <c r="H190" s="512">
        <v>0.62</v>
      </c>
      <c r="I190" s="202">
        <v>102</v>
      </c>
      <c r="J190" s="202">
        <v>90</v>
      </c>
      <c r="K190" s="204">
        <v>1.4</v>
      </c>
      <c r="L190" s="204">
        <v>2.2999999999999998</v>
      </c>
      <c r="M190" s="221">
        <v>103</v>
      </c>
      <c r="N190" s="125"/>
      <c r="O190" s="125"/>
    </row>
    <row r="191" spans="1:15" ht="15" hidden="1" customHeight="1" outlineLevel="1" x14ac:dyDescent="0.25">
      <c r="A191" s="85"/>
      <c r="B191" s="220"/>
      <c r="C191" s="221" t="s">
        <v>361</v>
      </c>
      <c r="D191" s="202">
        <v>85</v>
      </c>
      <c r="E191" s="512">
        <v>1.1000000000000001</v>
      </c>
      <c r="F191" s="512">
        <v>0.93</v>
      </c>
      <c r="G191" s="512">
        <v>0.76</v>
      </c>
      <c r="H191" s="512">
        <v>0.69</v>
      </c>
      <c r="I191" s="202">
        <v>123</v>
      </c>
      <c r="J191" s="202">
        <v>99</v>
      </c>
      <c r="K191" s="204">
        <v>1.5</v>
      </c>
      <c r="L191" s="204">
        <v>2.4</v>
      </c>
      <c r="M191" s="221">
        <v>102</v>
      </c>
      <c r="N191" s="125"/>
      <c r="O191" s="125"/>
    </row>
    <row r="192" spans="1:15" hidden="1" outlineLevel="1" x14ac:dyDescent="0.25">
      <c r="A192" s="85"/>
      <c r="B192" s="220"/>
      <c r="C192" s="221" t="s">
        <v>363</v>
      </c>
      <c r="D192" s="202" t="s">
        <v>238</v>
      </c>
      <c r="E192" s="203" t="s">
        <v>238</v>
      </c>
      <c r="F192" s="203" t="s">
        <v>238</v>
      </c>
      <c r="G192" s="203" t="s">
        <v>238</v>
      </c>
      <c r="H192" s="203" t="s">
        <v>238</v>
      </c>
      <c r="I192" s="202" t="s">
        <v>238</v>
      </c>
      <c r="J192" s="202" t="s">
        <v>238</v>
      </c>
      <c r="K192" s="204" t="s">
        <v>238</v>
      </c>
      <c r="L192" s="204" t="s">
        <v>238</v>
      </c>
      <c r="M192" s="221">
        <v>104</v>
      </c>
      <c r="N192" s="125"/>
      <c r="O192" s="125"/>
    </row>
    <row r="193" spans="1:15" hidden="1" outlineLevel="1" x14ac:dyDescent="0.25">
      <c r="A193" s="85"/>
      <c r="B193" s="220"/>
      <c r="C193" s="221" t="s">
        <v>364</v>
      </c>
      <c r="D193" s="202" t="s">
        <v>238</v>
      </c>
      <c r="E193" s="203" t="s">
        <v>238</v>
      </c>
      <c r="F193" s="203" t="s">
        <v>238</v>
      </c>
      <c r="G193" s="203" t="s">
        <v>238</v>
      </c>
      <c r="H193" s="203" t="s">
        <v>238</v>
      </c>
      <c r="I193" s="202" t="s">
        <v>238</v>
      </c>
      <c r="J193" s="202" t="s">
        <v>238</v>
      </c>
      <c r="K193" s="204" t="s">
        <v>238</v>
      </c>
      <c r="L193" s="204" t="s">
        <v>238</v>
      </c>
      <c r="M193" s="221">
        <v>105</v>
      </c>
      <c r="N193" s="125"/>
      <c r="O193" s="125"/>
    </row>
    <row r="194" spans="1:15" hidden="1" outlineLevel="1" x14ac:dyDescent="0.25">
      <c r="A194" s="85"/>
      <c r="B194" s="220"/>
      <c r="C194" s="800" t="s">
        <v>1173</v>
      </c>
      <c r="D194" s="202">
        <v>85</v>
      </c>
      <c r="E194" s="206">
        <v>1.69</v>
      </c>
      <c r="F194" s="206">
        <v>1.29</v>
      </c>
      <c r="G194" s="206">
        <v>0.69</v>
      </c>
      <c r="H194" s="206">
        <v>0.6</v>
      </c>
      <c r="I194" s="202">
        <v>65</v>
      </c>
      <c r="J194" s="202">
        <v>79</v>
      </c>
      <c r="K194" s="204">
        <v>2</v>
      </c>
      <c r="L194" s="204">
        <v>1.5</v>
      </c>
      <c r="M194" s="221">
        <v>87</v>
      </c>
      <c r="N194" s="125"/>
      <c r="O194" s="125"/>
    </row>
    <row r="195" spans="1:15" hidden="1" outlineLevel="1" x14ac:dyDescent="0.25">
      <c r="A195" s="85"/>
      <c r="B195" s="220"/>
      <c r="C195" s="800" t="s">
        <v>1174</v>
      </c>
      <c r="D195" s="202">
        <v>85</v>
      </c>
      <c r="E195" s="206">
        <v>1.4</v>
      </c>
      <c r="F195" s="206">
        <v>1.1299999999999999</v>
      </c>
      <c r="G195" s="206">
        <v>0.76</v>
      </c>
      <c r="H195" s="206">
        <v>0.67</v>
      </c>
      <c r="I195" s="202">
        <v>82</v>
      </c>
      <c r="J195" s="202">
        <v>88</v>
      </c>
      <c r="K195" s="204">
        <v>2.1</v>
      </c>
      <c r="L195" s="204">
        <v>1.6</v>
      </c>
      <c r="M195" s="221">
        <v>86</v>
      </c>
      <c r="N195" s="125"/>
      <c r="O195" s="125"/>
    </row>
    <row r="196" spans="1:15" hidden="1" outlineLevel="1" x14ac:dyDescent="0.25">
      <c r="A196" s="85"/>
      <c r="B196" s="220"/>
      <c r="C196" s="800" t="s">
        <v>1175</v>
      </c>
      <c r="D196" s="202">
        <v>85</v>
      </c>
      <c r="E196" s="206">
        <v>1.88</v>
      </c>
      <c r="F196" s="206">
        <v>1.4</v>
      </c>
      <c r="G196" s="206">
        <v>0.61</v>
      </c>
      <c r="H196" s="206">
        <v>0.51</v>
      </c>
      <c r="I196" s="202">
        <v>54</v>
      </c>
      <c r="J196" s="202">
        <v>71</v>
      </c>
      <c r="K196" s="204">
        <v>2</v>
      </c>
      <c r="L196" s="204">
        <v>1.4</v>
      </c>
      <c r="M196" s="221">
        <v>88</v>
      </c>
      <c r="N196" s="125"/>
      <c r="O196" s="125"/>
    </row>
    <row r="197" spans="1:15" hidden="1" outlineLevel="1" x14ac:dyDescent="0.25">
      <c r="A197" s="85"/>
      <c r="B197" s="220"/>
      <c r="C197" s="800" t="s">
        <v>348</v>
      </c>
      <c r="D197" s="202">
        <v>85</v>
      </c>
      <c r="E197" s="206">
        <v>1.4</v>
      </c>
      <c r="F197" s="206">
        <v>1.1200000000000001</v>
      </c>
      <c r="G197" s="206">
        <v>0.75</v>
      </c>
      <c r="H197" s="206">
        <v>0.66</v>
      </c>
      <c r="I197" s="202">
        <v>96</v>
      </c>
      <c r="J197" s="202">
        <v>96</v>
      </c>
      <c r="K197" s="204">
        <v>2.1</v>
      </c>
      <c r="L197" s="204">
        <v>2</v>
      </c>
      <c r="M197" s="221">
        <v>89</v>
      </c>
      <c r="N197" s="125"/>
      <c r="O197" s="125"/>
    </row>
    <row r="198" spans="1:15" hidden="1" outlineLevel="1" x14ac:dyDescent="0.25">
      <c r="A198" s="85"/>
      <c r="B198" s="220"/>
      <c r="C198" s="800" t="s">
        <v>1176</v>
      </c>
      <c r="D198" s="202">
        <v>85</v>
      </c>
      <c r="E198" s="206">
        <v>1.53</v>
      </c>
      <c r="F198" s="206">
        <v>1.2</v>
      </c>
      <c r="G198" s="206">
        <v>0.72</v>
      </c>
      <c r="H198" s="206">
        <v>0.63</v>
      </c>
      <c r="I198" s="202">
        <v>69</v>
      </c>
      <c r="J198" s="202">
        <v>82</v>
      </c>
      <c r="K198" s="204">
        <v>2</v>
      </c>
      <c r="L198" s="204">
        <v>1.5</v>
      </c>
      <c r="M198" s="221">
        <v>83</v>
      </c>
      <c r="N198" s="125"/>
      <c r="O198" s="125"/>
    </row>
    <row r="199" spans="1:15" hidden="1" outlineLevel="1" x14ac:dyDescent="0.25">
      <c r="A199" s="85"/>
      <c r="B199" s="220"/>
      <c r="C199" s="800" t="s">
        <v>1177</v>
      </c>
      <c r="D199" s="202">
        <v>85</v>
      </c>
      <c r="E199" s="206">
        <v>1.3</v>
      </c>
      <c r="F199" s="206">
        <v>1.04</v>
      </c>
      <c r="G199" s="206">
        <v>0.8</v>
      </c>
      <c r="H199" s="206">
        <v>0.72</v>
      </c>
      <c r="I199" s="202">
        <v>85</v>
      </c>
      <c r="J199" s="202">
        <v>91</v>
      </c>
      <c r="K199" s="204">
        <v>2.1</v>
      </c>
      <c r="L199" s="204">
        <v>1.6</v>
      </c>
      <c r="M199" s="221">
        <v>82</v>
      </c>
      <c r="N199" s="125"/>
      <c r="O199" s="125"/>
    </row>
    <row r="200" spans="1:15" hidden="1" outlineLevel="1" x14ac:dyDescent="0.25">
      <c r="A200" s="85"/>
      <c r="B200" s="220"/>
      <c r="C200" s="800" t="s">
        <v>1178</v>
      </c>
      <c r="D200" s="202">
        <v>85</v>
      </c>
      <c r="E200" s="206">
        <v>1.69</v>
      </c>
      <c r="F200" s="206">
        <v>1.31</v>
      </c>
      <c r="G200" s="206">
        <v>0.63</v>
      </c>
      <c r="H200" s="206">
        <v>0.53</v>
      </c>
      <c r="I200" s="202">
        <v>58</v>
      </c>
      <c r="J200" s="202">
        <v>73</v>
      </c>
      <c r="K200" s="204">
        <v>2</v>
      </c>
      <c r="L200" s="204">
        <v>1.4</v>
      </c>
      <c r="M200" s="221">
        <v>84</v>
      </c>
      <c r="N200" s="125"/>
      <c r="O200" s="125"/>
    </row>
    <row r="201" spans="1:15" hidden="1" outlineLevel="1" x14ac:dyDescent="0.25">
      <c r="A201" s="85"/>
      <c r="B201" s="220"/>
      <c r="C201" s="800" t="s">
        <v>344</v>
      </c>
      <c r="D201" s="202">
        <v>85</v>
      </c>
      <c r="E201" s="512">
        <v>1.29</v>
      </c>
      <c r="F201" s="512">
        <v>1.03</v>
      </c>
      <c r="G201" s="512">
        <v>0.79</v>
      </c>
      <c r="H201" s="512">
        <v>0.71</v>
      </c>
      <c r="I201" s="202">
        <v>100</v>
      </c>
      <c r="J201" s="202">
        <v>99</v>
      </c>
      <c r="K201" s="204">
        <v>2.1</v>
      </c>
      <c r="L201" s="204">
        <v>2</v>
      </c>
      <c r="M201" s="221">
        <v>85</v>
      </c>
      <c r="N201" s="125"/>
      <c r="O201" s="125"/>
    </row>
    <row r="202" spans="1:15" hidden="1" outlineLevel="1" x14ac:dyDescent="0.25">
      <c r="A202" s="85"/>
      <c r="B202" s="220"/>
      <c r="C202" s="800" t="s">
        <v>1179</v>
      </c>
      <c r="D202" s="202">
        <v>85</v>
      </c>
      <c r="E202" s="512">
        <v>1.42</v>
      </c>
      <c r="F202" s="512">
        <v>1.2</v>
      </c>
      <c r="G202" s="512">
        <v>0.71</v>
      </c>
      <c r="H202" s="512">
        <v>0.63</v>
      </c>
      <c r="I202" s="202">
        <v>69</v>
      </c>
      <c r="J202" s="202">
        <v>82</v>
      </c>
      <c r="K202" s="204">
        <v>2</v>
      </c>
      <c r="L202" s="204">
        <v>1.5</v>
      </c>
      <c r="M202" s="221">
        <v>79</v>
      </c>
      <c r="N202" s="125"/>
      <c r="O202" s="125"/>
    </row>
    <row r="203" spans="1:15" hidden="1" outlineLevel="1" x14ac:dyDescent="0.25">
      <c r="A203" s="85"/>
      <c r="B203" s="210"/>
      <c r="C203" s="800" t="s">
        <v>1180</v>
      </c>
      <c r="D203" s="202">
        <v>85</v>
      </c>
      <c r="E203" s="512">
        <v>1.21</v>
      </c>
      <c r="F203" s="512">
        <v>1.04</v>
      </c>
      <c r="G203" s="512">
        <v>0.8</v>
      </c>
      <c r="H203" s="512">
        <v>0.72</v>
      </c>
      <c r="I203" s="202">
        <v>85</v>
      </c>
      <c r="J203" s="202">
        <v>91</v>
      </c>
      <c r="K203" s="204">
        <v>2.1</v>
      </c>
      <c r="L203" s="204">
        <v>1.6</v>
      </c>
      <c r="M203" s="221">
        <v>78</v>
      </c>
      <c r="N203" s="125"/>
      <c r="O203" s="125"/>
    </row>
    <row r="204" spans="1:15" hidden="1" outlineLevel="1" x14ac:dyDescent="0.25">
      <c r="A204" s="85"/>
      <c r="B204" s="210"/>
      <c r="C204" s="800" t="s">
        <v>1181</v>
      </c>
      <c r="D204" s="202" t="s">
        <v>238</v>
      </c>
      <c r="E204" s="203" t="s">
        <v>238</v>
      </c>
      <c r="F204" s="203" t="s">
        <v>238</v>
      </c>
      <c r="G204" s="203" t="s">
        <v>238</v>
      </c>
      <c r="H204" s="203" t="s">
        <v>238</v>
      </c>
      <c r="I204" s="202" t="s">
        <v>238</v>
      </c>
      <c r="J204" s="202" t="s">
        <v>238</v>
      </c>
      <c r="K204" s="204" t="s">
        <v>238</v>
      </c>
      <c r="L204" s="204" t="s">
        <v>238</v>
      </c>
      <c r="M204" s="221">
        <v>80</v>
      </c>
      <c r="N204" s="125"/>
      <c r="O204" s="125"/>
    </row>
    <row r="205" spans="1:15" hidden="1" outlineLevel="1" x14ac:dyDescent="0.25">
      <c r="A205" s="85"/>
      <c r="B205" s="210"/>
      <c r="C205" s="800" t="s">
        <v>340</v>
      </c>
      <c r="D205" s="202" t="s">
        <v>238</v>
      </c>
      <c r="E205" s="203" t="s">
        <v>238</v>
      </c>
      <c r="F205" s="203" t="s">
        <v>238</v>
      </c>
      <c r="G205" s="203" t="s">
        <v>238</v>
      </c>
      <c r="H205" s="203" t="s">
        <v>238</v>
      </c>
      <c r="I205" s="202" t="s">
        <v>238</v>
      </c>
      <c r="J205" s="202" t="s">
        <v>238</v>
      </c>
      <c r="K205" s="204" t="s">
        <v>238</v>
      </c>
      <c r="L205" s="204" t="s">
        <v>238</v>
      </c>
      <c r="M205" s="221">
        <v>81</v>
      </c>
      <c r="N205" s="125"/>
      <c r="O205" s="125"/>
    </row>
    <row r="206" spans="1:15" hidden="1" outlineLevel="1" x14ac:dyDescent="0.25">
      <c r="A206" s="85"/>
      <c r="B206" s="210"/>
      <c r="C206" s="221" t="s">
        <v>394</v>
      </c>
      <c r="D206" s="202">
        <v>85</v>
      </c>
      <c r="E206" s="512">
        <v>1.49</v>
      </c>
      <c r="F206" s="512">
        <v>1.17</v>
      </c>
      <c r="G206" s="512">
        <v>0.71</v>
      </c>
      <c r="H206" s="512">
        <v>0.62</v>
      </c>
      <c r="I206" s="202">
        <v>50</v>
      </c>
      <c r="J206" s="202">
        <v>72</v>
      </c>
      <c r="K206" s="204">
        <v>1.4</v>
      </c>
      <c r="L206" s="204">
        <v>1.4</v>
      </c>
      <c r="M206" s="221">
        <v>135</v>
      </c>
      <c r="N206" s="125"/>
      <c r="O206" s="125"/>
    </row>
    <row r="207" spans="1:15" hidden="1" outlineLevel="1" x14ac:dyDescent="0.25">
      <c r="A207" s="85"/>
      <c r="B207" s="210"/>
      <c r="C207" s="221" t="s">
        <v>393</v>
      </c>
      <c r="D207" s="202" t="s">
        <v>238</v>
      </c>
      <c r="E207" s="203" t="s">
        <v>238</v>
      </c>
      <c r="F207" s="203" t="s">
        <v>238</v>
      </c>
      <c r="G207" s="203" t="s">
        <v>238</v>
      </c>
      <c r="H207" s="203" t="s">
        <v>238</v>
      </c>
      <c r="I207" s="202" t="s">
        <v>238</v>
      </c>
      <c r="J207" s="202" t="s">
        <v>238</v>
      </c>
      <c r="K207" s="204" t="s">
        <v>238</v>
      </c>
      <c r="L207" s="204" t="s">
        <v>238</v>
      </c>
      <c r="M207" s="221">
        <v>134</v>
      </c>
      <c r="N207" s="125"/>
      <c r="O207" s="125"/>
    </row>
    <row r="208" spans="1:15" hidden="1" outlineLevel="1" x14ac:dyDescent="0.25">
      <c r="A208" s="85"/>
      <c r="B208" s="210"/>
      <c r="C208" s="221" t="s">
        <v>395</v>
      </c>
      <c r="D208" s="202">
        <v>85</v>
      </c>
      <c r="E208" s="512">
        <v>1.79</v>
      </c>
      <c r="F208" s="512">
        <v>1.35</v>
      </c>
      <c r="G208" s="512">
        <v>0.6</v>
      </c>
      <c r="H208" s="512">
        <v>0.5</v>
      </c>
      <c r="I208" s="202">
        <v>32</v>
      </c>
      <c r="J208" s="202">
        <v>59</v>
      </c>
      <c r="K208" s="204">
        <v>1.2</v>
      </c>
      <c r="L208" s="204">
        <v>1.4</v>
      </c>
      <c r="M208" s="221">
        <v>136</v>
      </c>
      <c r="N208" s="125"/>
      <c r="O208" s="125"/>
    </row>
    <row r="209" spans="1:15" hidden="1" outlineLevel="1" x14ac:dyDescent="0.25">
      <c r="A209" s="85"/>
      <c r="B209" s="210"/>
      <c r="C209" s="221" t="s">
        <v>396</v>
      </c>
      <c r="D209" s="202">
        <v>85</v>
      </c>
      <c r="E209" s="206">
        <v>1.46</v>
      </c>
      <c r="F209" s="206">
        <v>1.1599999999999999</v>
      </c>
      <c r="G209" s="206">
        <v>0.67</v>
      </c>
      <c r="H209" s="206">
        <v>0.57999999999999996</v>
      </c>
      <c r="I209" s="202">
        <v>73</v>
      </c>
      <c r="J209" s="202">
        <v>80</v>
      </c>
      <c r="K209" s="204">
        <v>1.6</v>
      </c>
      <c r="L209" s="204">
        <v>1.4</v>
      </c>
      <c r="M209" s="221">
        <v>137</v>
      </c>
      <c r="N209" s="125"/>
      <c r="O209" s="125"/>
    </row>
    <row r="210" spans="1:15" hidden="1" outlineLevel="1" x14ac:dyDescent="0.25">
      <c r="A210" s="85"/>
      <c r="B210" s="210"/>
      <c r="C210" s="221" t="s">
        <v>390</v>
      </c>
      <c r="D210" s="202">
        <v>85</v>
      </c>
      <c r="E210" s="512">
        <v>1.36</v>
      </c>
      <c r="F210" s="512">
        <v>1.08</v>
      </c>
      <c r="G210" s="512">
        <v>0.74</v>
      </c>
      <c r="H210" s="512">
        <v>0.66</v>
      </c>
      <c r="I210" s="202">
        <v>54</v>
      </c>
      <c r="J210" s="202">
        <v>75</v>
      </c>
      <c r="K210" s="204">
        <v>1.4</v>
      </c>
      <c r="L210" s="204">
        <v>1.4</v>
      </c>
      <c r="M210" s="221">
        <v>131</v>
      </c>
      <c r="N210" s="125"/>
      <c r="O210" s="125"/>
    </row>
    <row r="211" spans="1:15" hidden="1" outlineLevel="1" x14ac:dyDescent="0.25">
      <c r="A211" s="85"/>
      <c r="B211" s="210"/>
      <c r="C211" s="221" t="s">
        <v>389</v>
      </c>
      <c r="D211" s="202" t="s">
        <v>238</v>
      </c>
      <c r="E211" s="203" t="s">
        <v>238</v>
      </c>
      <c r="F211" s="203" t="s">
        <v>238</v>
      </c>
      <c r="G211" s="203" t="s">
        <v>238</v>
      </c>
      <c r="H211" s="203" t="s">
        <v>238</v>
      </c>
      <c r="I211" s="202" t="s">
        <v>238</v>
      </c>
      <c r="J211" s="202" t="s">
        <v>238</v>
      </c>
      <c r="K211" s="204" t="s">
        <v>238</v>
      </c>
      <c r="L211" s="204" t="s">
        <v>238</v>
      </c>
      <c r="M211" s="221">
        <v>130</v>
      </c>
      <c r="N211" s="125"/>
      <c r="O211" s="125"/>
    </row>
    <row r="212" spans="1:15" hidden="1" outlineLevel="1" x14ac:dyDescent="0.25">
      <c r="A212" s="85"/>
      <c r="B212" s="210"/>
      <c r="C212" s="221" t="s">
        <v>391</v>
      </c>
      <c r="D212" s="202">
        <v>85</v>
      </c>
      <c r="E212" s="206">
        <v>1.62</v>
      </c>
      <c r="F212" s="206">
        <v>1.26</v>
      </c>
      <c r="G212" s="206">
        <v>0.61</v>
      </c>
      <c r="H212" s="206">
        <v>0.52</v>
      </c>
      <c r="I212" s="202">
        <v>36</v>
      </c>
      <c r="J212" s="202">
        <v>61</v>
      </c>
      <c r="K212" s="204">
        <v>1.2</v>
      </c>
      <c r="L212" s="204">
        <v>1.4</v>
      </c>
      <c r="M212" s="221">
        <v>132</v>
      </c>
      <c r="N212" s="125"/>
      <c r="O212" s="125"/>
    </row>
    <row r="213" spans="1:15" hidden="1" outlineLevel="1" x14ac:dyDescent="0.25">
      <c r="A213" s="85"/>
      <c r="B213" s="210"/>
      <c r="C213" s="221" t="s">
        <v>392</v>
      </c>
      <c r="D213" s="202">
        <v>85</v>
      </c>
      <c r="E213" s="512">
        <v>1.35</v>
      </c>
      <c r="F213" s="512">
        <v>1.07</v>
      </c>
      <c r="G213" s="512">
        <v>0.7</v>
      </c>
      <c r="H213" s="512">
        <v>0.61</v>
      </c>
      <c r="I213" s="202">
        <v>76</v>
      </c>
      <c r="J213" s="202">
        <v>82</v>
      </c>
      <c r="K213" s="204">
        <v>1.6</v>
      </c>
      <c r="L213" s="204">
        <v>1.4</v>
      </c>
      <c r="M213" s="221">
        <v>133</v>
      </c>
      <c r="N213" s="125"/>
      <c r="O213" s="125"/>
    </row>
    <row r="214" spans="1:15" hidden="1" outlineLevel="1" x14ac:dyDescent="0.25">
      <c r="A214" s="85"/>
      <c r="B214" s="210"/>
      <c r="C214" s="221" t="s">
        <v>386</v>
      </c>
      <c r="D214" s="202">
        <v>85</v>
      </c>
      <c r="E214" s="512">
        <v>1.27</v>
      </c>
      <c r="F214" s="512">
        <v>1.08</v>
      </c>
      <c r="G214" s="512">
        <v>0.74</v>
      </c>
      <c r="H214" s="512">
        <v>0.66</v>
      </c>
      <c r="I214" s="202">
        <v>54</v>
      </c>
      <c r="J214" s="202">
        <v>75</v>
      </c>
      <c r="K214" s="204">
        <v>1.4</v>
      </c>
      <c r="L214" s="204">
        <v>1.4</v>
      </c>
      <c r="M214" s="221">
        <v>127</v>
      </c>
      <c r="N214" s="125"/>
      <c r="O214" s="125"/>
    </row>
    <row r="215" spans="1:15" hidden="1" outlineLevel="1" x14ac:dyDescent="0.25">
      <c r="A215" s="85"/>
      <c r="B215" s="210"/>
      <c r="C215" s="221" t="s">
        <v>385</v>
      </c>
      <c r="D215" s="202">
        <v>85</v>
      </c>
      <c r="E215" s="512">
        <v>1.19</v>
      </c>
      <c r="F215" s="512">
        <v>1.01</v>
      </c>
      <c r="G215" s="512">
        <v>0.81</v>
      </c>
      <c r="H215" s="512">
        <v>0.75</v>
      </c>
      <c r="I215" s="202">
        <v>70</v>
      </c>
      <c r="J215" s="202">
        <v>85</v>
      </c>
      <c r="K215" s="204">
        <v>1.6</v>
      </c>
      <c r="L215" s="204">
        <v>1.4</v>
      </c>
      <c r="M215" s="221">
        <v>126</v>
      </c>
      <c r="N215" s="125"/>
      <c r="O215" s="125"/>
    </row>
    <row r="216" spans="1:15" hidden="1" outlineLevel="1" x14ac:dyDescent="0.25">
      <c r="A216" s="85"/>
      <c r="B216" s="210"/>
      <c r="C216" s="221" t="s">
        <v>387</v>
      </c>
      <c r="D216" s="202" t="s">
        <v>238</v>
      </c>
      <c r="E216" s="203" t="s">
        <v>238</v>
      </c>
      <c r="F216" s="203" t="s">
        <v>238</v>
      </c>
      <c r="G216" s="203" t="s">
        <v>238</v>
      </c>
      <c r="H216" s="203" t="s">
        <v>238</v>
      </c>
      <c r="I216" s="202" t="s">
        <v>238</v>
      </c>
      <c r="J216" s="202" t="s">
        <v>238</v>
      </c>
      <c r="K216" s="204" t="s">
        <v>238</v>
      </c>
      <c r="L216" s="204" t="s">
        <v>238</v>
      </c>
      <c r="M216" s="221">
        <v>128</v>
      </c>
      <c r="N216" s="125"/>
      <c r="O216" s="125"/>
    </row>
    <row r="217" spans="1:15" hidden="1" outlineLevel="1" x14ac:dyDescent="0.25">
      <c r="A217" s="85"/>
      <c r="B217" s="210"/>
      <c r="C217" s="221" t="s">
        <v>388</v>
      </c>
      <c r="D217" s="202" t="s">
        <v>238</v>
      </c>
      <c r="E217" s="203" t="s">
        <v>238</v>
      </c>
      <c r="F217" s="203" t="s">
        <v>238</v>
      </c>
      <c r="G217" s="203" t="s">
        <v>238</v>
      </c>
      <c r="H217" s="203" t="s">
        <v>238</v>
      </c>
      <c r="I217" s="202" t="s">
        <v>238</v>
      </c>
      <c r="J217" s="202" t="s">
        <v>238</v>
      </c>
      <c r="K217" s="204" t="s">
        <v>238</v>
      </c>
      <c r="L217" s="204" t="s">
        <v>238</v>
      </c>
      <c r="M217" s="221">
        <v>129</v>
      </c>
      <c r="N217" s="125"/>
      <c r="O217" s="125"/>
    </row>
    <row r="218" spans="1:15" hidden="1" outlineLevel="1" x14ac:dyDescent="0.25">
      <c r="A218" s="85"/>
      <c r="B218" s="210"/>
      <c r="C218" s="221" t="s">
        <v>382</v>
      </c>
      <c r="D218" s="202">
        <v>85</v>
      </c>
      <c r="E218" s="512">
        <v>1.31</v>
      </c>
      <c r="F218" s="512">
        <v>1.1599999999999999</v>
      </c>
      <c r="G218" s="512">
        <v>0.73</v>
      </c>
      <c r="H218" s="512">
        <v>0.59</v>
      </c>
      <c r="I218" s="202">
        <v>93</v>
      </c>
      <c r="J218" s="202">
        <v>84</v>
      </c>
      <c r="K218" s="204">
        <v>1.5</v>
      </c>
      <c r="L218" s="204">
        <v>2.2999999999999998</v>
      </c>
      <c r="M218" s="221">
        <v>123</v>
      </c>
      <c r="N218" s="125"/>
      <c r="O218" s="125"/>
    </row>
    <row r="219" spans="1:15" hidden="1" outlineLevel="1" x14ac:dyDescent="0.25">
      <c r="A219" s="85"/>
      <c r="B219" s="210"/>
      <c r="C219" s="221" t="s">
        <v>381</v>
      </c>
      <c r="D219" s="202" t="s">
        <v>238</v>
      </c>
      <c r="E219" s="203" t="s">
        <v>238</v>
      </c>
      <c r="F219" s="203" t="s">
        <v>238</v>
      </c>
      <c r="G219" s="203" t="s">
        <v>238</v>
      </c>
      <c r="H219" s="203" t="s">
        <v>238</v>
      </c>
      <c r="I219" s="202" t="s">
        <v>238</v>
      </c>
      <c r="J219" s="202" t="s">
        <v>238</v>
      </c>
      <c r="K219" s="204" t="s">
        <v>238</v>
      </c>
      <c r="L219" s="204" t="s">
        <v>238</v>
      </c>
      <c r="M219" s="221">
        <v>122</v>
      </c>
      <c r="N219" s="125"/>
      <c r="O219" s="125"/>
    </row>
    <row r="220" spans="1:15" hidden="1" outlineLevel="1" x14ac:dyDescent="0.25">
      <c r="A220" s="85"/>
      <c r="B220" s="210"/>
      <c r="C220" s="221" t="s">
        <v>383</v>
      </c>
      <c r="D220" s="202">
        <v>85</v>
      </c>
      <c r="E220" s="512">
        <v>1.54</v>
      </c>
      <c r="F220" s="512">
        <v>1.29</v>
      </c>
      <c r="G220" s="512">
        <v>0.61</v>
      </c>
      <c r="H220" s="512">
        <v>0.51</v>
      </c>
      <c r="I220" s="202">
        <v>70</v>
      </c>
      <c r="J220" s="202">
        <v>72</v>
      </c>
      <c r="K220" s="204">
        <v>1.3</v>
      </c>
      <c r="L220" s="204">
        <v>2.2000000000000002</v>
      </c>
      <c r="M220" s="221">
        <v>124</v>
      </c>
      <c r="N220" s="125"/>
      <c r="O220" s="125"/>
    </row>
    <row r="221" spans="1:15" hidden="1" outlineLevel="1" x14ac:dyDescent="0.25">
      <c r="A221" s="85"/>
      <c r="B221" s="210"/>
      <c r="C221" s="221" t="s">
        <v>384</v>
      </c>
      <c r="D221" s="202">
        <v>85</v>
      </c>
      <c r="E221" s="206">
        <v>1.25</v>
      </c>
      <c r="F221" s="206">
        <v>1.1100000000000001</v>
      </c>
      <c r="G221" s="206">
        <v>0.65</v>
      </c>
      <c r="H221" s="206">
        <v>0.56000000000000005</v>
      </c>
      <c r="I221" s="202">
        <v>92</v>
      </c>
      <c r="J221" s="202">
        <v>83</v>
      </c>
      <c r="K221" s="204">
        <v>1.5</v>
      </c>
      <c r="L221" s="204">
        <v>2.4</v>
      </c>
      <c r="M221" s="221">
        <v>125</v>
      </c>
      <c r="N221" s="125"/>
      <c r="O221" s="125"/>
    </row>
    <row r="222" spans="1:15" hidden="1" outlineLevel="1" x14ac:dyDescent="0.25">
      <c r="A222" s="85"/>
      <c r="B222" s="210"/>
      <c r="C222" s="221" t="s">
        <v>378</v>
      </c>
      <c r="D222" s="202">
        <v>85</v>
      </c>
      <c r="E222" s="512">
        <v>1.2</v>
      </c>
      <c r="F222" s="512">
        <v>1.07</v>
      </c>
      <c r="G222" s="512">
        <v>0.74</v>
      </c>
      <c r="H222" s="512">
        <v>0.66</v>
      </c>
      <c r="I222" s="202">
        <v>92</v>
      </c>
      <c r="J222" s="202">
        <v>88</v>
      </c>
      <c r="K222" s="204">
        <v>1.5</v>
      </c>
      <c r="L222" s="204">
        <v>2.2999999999999998</v>
      </c>
      <c r="M222" s="221">
        <v>119</v>
      </c>
      <c r="N222" s="125"/>
      <c r="O222" s="125"/>
    </row>
    <row r="223" spans="1:15" hidden="1" outlineLevel="1" x14ac:dyDescent="0.25">
      <c r="A223" s="85"/>
      <c r="B223" s="210"/>
      <c r="C223" s="221" t="s">
        <v>377</v>
      </c>
      <c r="D223" s="202" t="s">
        <v>238</v>
      </c>
      <c r="E223" s="203" t="s">
        <v>238</v>
      </c>
      <c r="F223" s="203" t="s">
        <v>238</v>
      </c>
      <c r="G223" s="203" t="s">
        <v>238</v>
      </c>
      <c r="H223" s="203" t="s">
        <v>238</v>
      </c>
      <c r="I223" s="202" t="s">
        <v>238</v>
      </c>
      <c r="J223" s="202" t="s">
        <v>238</v>
      </c>
      <c r="K223" s="204" t="s">
        <v>238</v>
      </c>
      <c r="L223" s="204" t="s">
        <v>238</v>
      </c>
      <c r="M223" s="221">
        <v>118</v>
      </c>
      <c r="N223" s="125"/>
      <c r="O223" s="125"/>
    </row>
    <row r="224" spans="1:15" hidden="1" outlineLevel="1" x14ac:dyDescent="0.25">
      <c r="A224" s="85"/>
      <c r="B224" s="210"/>
      <c r="C224" s="221" t="s">
        <v>379</v>
      </c>
      <c r="D224" s="202">
        <v>85</v>
      </c>
      <c r="E224" s="206">
        <v>1.4</v>
      </c>
      <c r="F224" s="206">
        <v>1.2</v>
      </c>
      <c r="G224" s="206">
        <v>0.63</v>
      </c>
      <c r="H224" s="206">
        <v>0.54</v>
      </c>
      <c r="I224" s="202">
        <v>75</v>
      </c>
      <c r="J224" s="202">
        <v>76</v>
      </c>
      <c r="K224" s="204">
        <v>1.2</v>
      </c>
      <c r="L224" s="204">
        <v>2.2000000000000002</v>
      </c>
      <c r="M224" s="221">
        <v>120</v>
      </c>
      <c r="N224" s="125"/>
      <c r="O224" s="125"/>
    </row>
    <row r="225" spans="1:15" hidden="1" outlineLevel="1" x14ac:dyDescent="0.25">
      <c r="A225" s="85"/>
      <c r="B225" s="210"/>
      <c r="C225" s="221" t="s">
        <v>380</v>
      </c>
      <c r="D225" s="202">
        <v>85</v>
      </c>
      <c r="E225" s="512">
        <v>1.1399999999999999</v>
      </c>
      <c r="F225" s="512">
        <v>1.01</v>
      </c>
      <c r="G225" s="512">
        <v>0.69</v>
      </c>
      <c r="H225" s="512">
        <v>0.61</v>
      </c>
      <c r="I225" s="202">
        <v>97</v>
      </c>
      <c r="J225" s="202">
        <v>87</v>
      </c>
      <c r="K225" s="204">
        <v>1.5</v>
      </c>
      <c r="L225" s="204">
        <v>2.4</v>
      </c>
      <c r="M225" s="221">
        <v>121</v>
      </c>
      <c r="N225" s="125"/>
      <c r="O225" s="125"/>
    </row>
    <row r="226" spans="1:15" hidden="1" outlineLevel="1" x14ac:dyDescent="0.25">
      <c r="A226" s="85"/>
      <c r="B226" s="210"/>
      <c r="C226" s="221" t="s">
        <v>374</v>
      </c>
      <c r="D226" s="202">
        <v>85</v>
      </c>
      <c r="E226" s="512">
        <v>1.21</v>
      </c>
      <c r="F226" s="512">
        <v>1.07</v>
      </c>
      <c r="G226" s="512">
        <v>0.75</v>
      </c>
      <c r="H226" s="512">
        <v>0.67</v>
      </c>
      <c r="I226" s="202">
        <v>86</v>
      </c>
      <c r="J226" s="202">
        <v>87</v>
      </c>
      <c r="K226" s="204">
        <v>1.4</v>
      </c>
      <c r="L226" s="204">
        <v>2.2999999999999998</v>
      </c>
      <c r="M226" s="221">
        <v>115</v>
      </c>
      <c r="N226" s="125"/>
      <c r="O226" s="125"/>
    </row>
    <row r="227" spans="1:15" hidden="1" outlineLevel="1" x14ac:dyDescent="0.25">
      <c r="A227" s="85"/>
      <c r="B227" s="210"/>
      <c r="C227" s="221" t="s">
        <v>373</v>
      </c>
      <c r="D227" s="202">
        <v>85</v>
      </c>
      <c r="E227" s="512">
        <v>1.07</v>
      </c>
      <c r="F227" s="512">
        <v>0.96</v>
      </c>
      <c r="G227" s="512">
        <v>0.81</v>
      </c>
      <c r="H227" s="512">
        <v>0.75</v>
      </c>
      <c r="I227" s="202">
        <v>108</v>
      </c>
      <c r="J227" s="202">
        <v>97</v>
      </c>
      <c r="K227" s="204">
        <v>1.6</v>
      </c>
      <c r="L227" s="204">
        <v>2.4</v>
      </c>
      <c r="M227" s="221">
        <v>114</v>
      </c>
      <c r="N227" s="125"/>
      <c r="O227" s="125"/>
    </row>
    <row r="228" spans="1:15" hidden="1" outlineLevel="1" x14ac:dyDescent="0.25">
      <c r="A228" s="85"/>
      <c r="B228" s="210"/>
      <c r="C228" s="221" t="s">
        <v>375</v>
      </c>
      <c r="D228" s="202" t="s">
        <v>238</v>
      </c>
      <c r="E228" s="203" t="s">
        <v>238</v>
      </c>
      <c r="F228" s="203" t="s">
        <v>238</v>
      </c>
      <c r="G228" s="203" t="s">
        <v>238</v>
      </c>
      <c r="H228" s="203" t="s">
        <v>238</v>
      </c>
      <c r="I228" s="202" t="s">
        <v>238</v>
      </c>
      <c r="J228" s="202" t="s">
        <v>238</v>
      </c>
      <c r="K228" s="204" t="s">
        <v>238</v>
      </c>
      <c r="L228" s="204" t="s">
        <v>238</v>
      </c>
      <c r="M228" s="221">
        <v>116</v>
      </c>
      <c r="N228" s="125"/>
      <c r="O228" s="125"/>
    </row>
    <row r="229" spans="1:15" hidden="1" outlineLevel="1" x14ac:dyDescent="0.25">
      <c r="A229" s="85"/>
      <c r="B229" s="210"/>
      <c r="C229" s="221" t="s">
        <v>376</v>
      </c>
      <c r="D229" s="202" t="s">
        <v>238</v>
      </c>
      <c r="E229" s="203" t="s">
        <v>238</v>
      </c>
      <c r="F229" s="203" t="s">
        <v>238</v>
      </c>
      <c r="G229" s="203" t="s">
        <v>238</v>
      </c>
      <c r="H229" s="203" t="s">
        <v>238</v>
      </c>
      <c r="I229" s="202" t="s">
        <v>238</v>
      </c>
      <c r="J229" s="202" t="s">
        <v>238</v>
      </c>
      <c r="K229" s="204" t="s">
        <v>238</v>
      </c>
      <c r="L229" s="204" t="s">
        <v>238</v>
      </c>
      <c r="M229" s="221">
        <v>117</v>
      </c>
      <c r="N229" s="125"/>
      <c r="O229" s="125"/>
    </row>
    <row r="230" spans="1:15" s="645" customFormat="1" hidden="1" outlineLevel="1" x14ac:dyDescent="0.25">
      <c r="A230" s="371"/>
      <c r="B230" s="210"/>
      <c r="C230" s="474" t="s">
        <v>743</v>
      </c>
      <c r="D230" s="475" t="e">
        <f>#REF!</f>
        <v>#REF!</v>
      </c>
      <c r="E230" s="476" t="e">
        <f>#REF!</f>
        <v>#REF!</v>
      </c>
      <c r="F230" s="476"/>
      <c r="G230" s="476" t="e">
        <f>#REF!</f>
        <v>#REF!</v>
      </c>
      <c r="H230" s="476"/>
      <c r="I230" s="475" t="e">
        <f>#REF!</f>
        <v>#REF!</v>
      </c>
      <c r="J230" s="475" t="e">
        <f>#REF!</f>
        <v>#REF!</v>
      </c>
      <c r="K230" s="477" t="e">
        <f>#REF!</f>
        <v>#REF!</v>
      </c>
      <c r="L230" s="477" t="e">
        <f>#REF!</f>
        <v>#REF!</v>
      </c>
      <c r="M230" s="221">
        <v>150</v>
      </c>
      <c r="N230" s="366"/>
      <c r="O230" s="366"/>
    </row>
    <row r="231" spans="1:15" s="645" customFormat="1" hidden="1" outlineLevel="1" x14ac:dyDescent="0.25">
      <c r="A231" s="371"/>
      <c r="B231" s="210"/>
      <c r="C231" s="474" t="s">
        <v>742</v>
      </c>
      <c r="D231" s="478" t="e">
        <f>#REF!</f>
        <v>#REF!</v>
      </c>
      <c r="E231" s="476" t="e">
        <f>#REF!</f>
        <v>#REF!</v>
      </c>
      <c r="F231" s="475"/>
      <c r="G231" s="476" t="e">
        <f>#REF!</f>
        <v>#REF!</v>
      </c>
      <c r="H231" s="475"/>
      <c r="I231" s="475" t="e">
        <f>#REF!</f>
        <v>#REF!</v>
      </c>
      <c r="J231" s="475" t="e">
        <f>#REF!</f>
        <v>#REF!</v>
      </c>
      <c r="K231" s="477" t="e">
        <f>#REF!</f>
        <v>#REF!</v>
      </c>
      <c r="L231" s="477" t="e">
        <f>#REF!</f>
        <v>#REF!</v>
      </c>
      <c r="M231" s="221">
        <v>151</v>
      </c>
      <c r="N231" s="366"/>
      <c r="O231" s="366"/>
    </row>
    <row r="232" spans="1:15" s="645" customFormat="1" hidden="1" outlineLevel="1" x14ac:dyDescent="0.25">
      <c r="A232" s="371"/>
      <c r="B232" s="210"/>
      <c r="C232" s="474" t="s">
        <v>744</v>
      </c>
      <c r="D232" s="478" t="e">
        <f>#REF!</f>
        <v>#REF!</v>
      </c>
      <c r="E232" s="476" t="e">
        <f>#REF!</f>
        <v>#REF!</v>
      </c>
      <c r="F232" s="475"/>
      <c r="G232" s="476" t="e">
        <f>#REF!</f>
        <v>#REF!</v>
      </c>
      <c r="H232" s="475"/>
      <c r="I232" s="475" t="e">
        <f>#REF!</f>
        <v>#REF!</v>
      </c>
      <c r="J232" s="475" t="e">
        <f>#REF!</f>
        <v>#REF!</v>
      </c>
      <c r="K232" s="477" t="e">
        <f>#REF!</f>
        <v>#REF!</v>
      </c>
      <c r="L232" s="477" t="e">
        <f>#REF!</f>
        <v>#REF!</v>
      </c>
      <c r="M232" s="221">
        <v>152</v>
      </c>
      <c r="N232" s="366"/>
      <c r="O232" s="366"/>
    </row>
    <row r="233" spans="1:15" s="645" customFormat="1" hidden="1" outlineLevel="1" x14ac:dyDescent="0.25">
      <c r="A233" s="371"/>
      <c r="B233" s="210"/>
      <c r="C233" s="221" t="s">
        <v>335</v>
      </c>
      <c r="D233" s="202">
        <v>88</v>
      </c>
      <c r="E233" s="203">
        <v>2.2999999999999998</v>
      </c>
      <c r="F233" s="203">
        <v>1.7</v>
      </c>
      <c r="G233" s="203">
        <v>0.5</v>
      </c>
      <c r="H233" s="203">
        <v>0.39</v>
      </c>
      <c r="I233" s="202">
        <v>20</v>
      </c>
      <c r="J233" s="202">
        <v>48</v>
      </c>
      <c r="K233" s="204">
        <v>0.5</v>
      </c>
      <c r="L233" s="204">
        <v>1.4</v>
      </c>
      <c r="M233" s="221">
        <v>154</v>
      </c>
      <c r="N233" s="366"/>
      <c r="O233" s="366"/>
    </row>
    <row r="234" spans="1:15" s="645" customFormat="1" hidden="1" outlineLevel="1" x14ac:dyDescent="0.25">
      <c r="A234" s="371"/>
      <c r="B234" s="210"/>
      <c r="C234" s="221" t="s">
        <v>332</v>
      </c>
      <c r="D234" s="202">
        <v>88</v>
      </c>
      <c r="E234" s="203">
        <v>2.41</v>
      </c>
      <c r="F234" s="203">
        <v>1.8</v>
      </c>
      <c r="G234" s="203">
        <v>0.42</v>
      </c>
      <c r="H234" s="203">
        <v>0.31</v>
      </c>
      <c r="I234" s="202">
        <v>22</v>
      </c>
      <c r="J234" s="202">
        <v>44</v>
      </c>
      <c r="K234" s="204">
        <v>0.5</v>
      </c>
      <c r="L234" s="204">
        <v>0.8</v>
      </c>
      <c r="M234" s="221">
        <v>153</v>
      </c>
      <c r="N234" s="366"/>
      <c r="O234" s="366"/>
    </row>
    <row r="235" spans="1:15" hidden="1" outlineLevel="1" x14ac:dyDescent="0.25">
      <c r="A235" s="85"/>
      <c r="B235" s="210"/>
      <c r="C235" s="221" t="s">
        <v>333</v>
      </c>
      <c r="D235" s="202">
        <v>88</v>
      </c>
      <c r="E235" s="203">
        <v>2.4700000000000002</v>
      </c>
      <c r="F235" s="203">
        <v>1.8</v>
      </c>
      <c r="G235" s="203">
        <v>0.44</v>
      </c>
      <c r="H235" s="203">
        <v>0.33</v>
      </c>
      <c r="I235" s="202">
        <v>24</v>
      </c>
      <c r="J235" s="202">
        <v>46</v>
      </c>
      <c r="K235" s="204">
        <v>0.5</v>
      </c>
      <c r="L235" s="204">
        <v>1.4</v>
      </c>
      <c r="M235" s="221">
        <v>163</v>
      </c>
      <c r="N235" s="125"/>
      <c r="O235" s="125"/>
    </row>
    <row r="236" spans="1:15" hidden="1" outlineLevel="1" x14ac:dyDescent="0.25">
      <c r="A236" s="85"/>
      <c r="B236" s="210"/>
      <c r="C236" s="221" t="s">
        <v>336</v>
      </c>
      <c r="D236" s="202">
        <v>88</v>
      </c>
      <c r="E236" s="203">
        <v>1.74</v>
      </c>
      <c r="F236" s="203">
        <v>1.3</v>
      </c>
      <c r="G236" s="203">
        <v>0.57999999999999996</v>
      </c>
      <c r="H236" s="203">
        <v>0.48</v>
      </c>
      <c r="I236" s="202">
        <v>43</v>
      </c>
      <c r="J236" s="202">
        <v>54</v>
      </c>
      <c r="K236" s="204">
        <v>0.5</v>
      </c>
      <c r="L236" s="204">
        <v>1.4</v>
      </c>
      <c r="M236" s="221">
        <v>160</v>
      </c>
      <c r="N236" s="125"/>
      <c r="O236" s="125"/>
    </row>
    <row r="237" spans="1:15" hidden="1" outlineLevel="1" x14ac:dyDescent="0.25">
      <c r="A237" s="85"/>
      <c r="B237" s="210"/>
      <c r="C237" s="221" t="s">
        <v>334</v>
      </c>
      <c r="D237" s="202">
        <v>88</v>
      </c>
      <c r="E237" s="203">
        <v>2.41</v>
      </c>
      <c r="F237" s="203">
        <v>1.8</v>
      </c>
      <c r="G237" s="203">
        <v>0.42</v>
      </c>
      <c r="H237" s="203">
        <v>0.31</v>
      </c>
      <c r="I237" s="202">
        <v>22</v>
      </c>
      <c r="J237" s="202">
        <v>44</v>
      </c>
      <c r="K237" s="204">
        <v>0.5</v>
      </c>
      <c r="L237" s="204">
        <v>0.8</v>
      </c>
      <c r="M237" s="221">
        <v>159</v>
      </c>
      <c r="N237" s="125"/>
      <c r="O237" s="125"/>
    </row>
    <row r="238" spans="1:15" hidden="1" outlineLevel="1" x14ac:dyDescent="0.25">
      <c r="A238" s="85"/>
      <c r="B238" s="210"/>
      <c r="C238" s="221" t="s">
        <v>416</v>
      </c>
      <c r="D238" s="510">
        <v>15</v>
      </c>
      <c r="E238" s="512">
        <v>0.94</v>
      </c>
      <c r="F238" s="512">
        <v>0.95</v>
      </c>
      <c r="G238" s="512">
        <v>1</v>
      </c>
      <c r="H238" s="512">
        <v>0.98</v>
      </c>
      <c r="I238" s="510">
        <v>75</v>
      </c>
      <c r="J238" s="510">
        <v>87</v>
      </c>
      <c r="K238" s="275">
        <v>2.2000000000000002</v>
      </c>
      <c r="L238" s="275">
        <v>1.9</v>
      </c>
      <c r="M238" s="221">
        <v>164</v>
      </c>
      <c r="N238" s="125"/>
      <c r="O238" s="125"/>
    </row>
    <row r="239" spans="1:15" hidden="1" outlineLevel="1" x14ac:dyDescent="0.25">
      <c r="A239" s="85"/>
      <c r="B239" s="210"/>
      <c r="C239" s="221" t="s">
        <v>419</v>
      </c>
      <c r="D239" s="510">
        <v>13</v>
      </c>
      <c r="E239" s="512">
        <v>0.91</v>
      </c>
      <c r="F239" s="512">
        <v>1.2</v>
      </c>
      <c r="G239" s="512">
        <v>1.1499999999999999</v>
      </c>
      <c r="H239" s="512">
        <v>1.1599999999999999</v>
      </c>
      <c r="I239" s="510">
        <v>62</v>
      </c>
      <c r="J239" s="510">
        <v>86</v>
      </c>
      <c r="K239" s="275">
        <v>1.1000000000000001</v>
      </c>
      <c r="L239" s="275">
        <v>0.5</v>
      </c>
      <c r="M239" s="221">
        <v>155</v>
      </c>
      <c r="N239" s="125"/>
      <c r="O239" s="125"/>
    </row>
    <row r="240" spans="1:15" hidden="1" outlineLevel="1" x14ac:dyDescent="0.25">
      <c r="A240" s="85"/>
      <c r="B240" s="210"/>
      <c r="C240" s="221" t="s">
        <v>413</v>
      </c>
      <c r="D240" s="510">
        <v>13</v>
      </c>
      <c r="E240" s="512">
        <v>0.91</v>
      </c>
      <c r="F240" s="512">
        <v>0.93</v>
      </c>
      <c r="G240" s="512">
        <v>0.91</v>
      </c>
      <c r="H240" s="512">
        <v>0.89</v>
      </c>
      <c r="I240" s="510">
        <v>124</v>
      </c>
      <c r="J240" s="510">
        <v>97</v>
      </c>
      <c r="K240" s="275">
        <v>2.2999999999999998</v>
      </c>
      <c r="L240" s="275">
        <v>4.7</v>
      </c>
      <c r="M240" s="221">
        <v>157</v>
      </c>
      <c r="N240" s="125"/>
      <c r="O240" s="125"/>
    </row>
    <row r="241" spans="1:15" hidden="1" outlineLevel="1" x14ac:dyDescent="0.25">
      <c r="A241" s="85"/>
      <c r="B241" s="210"/>
      <c r="C241" s="221" t="s">
        <v>417</v>
      </c>
      <c r="D241" s="202">
        <v>10</v>
      </c>
      <c r="E241" s="203">
        <v>0.9</v>
      </c>
      <c r="F241" s="203">
        <v>0.7</v>
      </c>
      <c r="G241" s="203">
        <v>1.1200000000000001</v>
      </c>
      <c r="H241" s="203">
        <v>1.1200000000000001</v>
      </c>
      <c r="I241" s="202">
        <v>68</v>
      </c>
      <c r="J241" s="202">
        <v>84</v>
      </c>
      <c r="K241" s="202">
        <v>1.8</v>
      </c>
      <c r="L241" s="202">
        <v>1.1000000000000001</v>
      </c>
      <c r="M241" s="221">
        <v>156</v>
      </c>
      <c r="N241" s="125"/>
      <c r="O241" s="125"/>
    </row>
    <row r="242" spans="1:15" hidden="1" outlineLevel="1" x14ac:dyDescent="0.25">
      <c r="A242" s="85"/>
      <c r="B242" s="210"/>
      <c r="C242" s="221" t="s">
        <v>409</v>
      </c>
      <c r="D242" s="274">
        <v>16</v>
      </c>
      <c r="E242" s="206">
        <v>0.9</v>
      </c>
      <c r="F242" s="206">
        <v>0.9</v>
      </c>
      <c r="G242" s="206">
        <v>1</v>
      </c>
      <c r="H242" s="206">
        <v>0.95</v>
      </c>
      <c r="I242" s="274">
        <v>140</v>
      </c>
      <c r="J242" s="274">
        <v>105</v>
      </c>
      <c r="K242" s="275">
        <v>2.9</v>
      </c>
      <c r="L242" s="275">
        <v>2.2999999999999998</v>
      </c>
      <c r="M242" s="221">
        <v>158</v>
      </c>
      <c r="N242" s="125"/>
      <c r="O242" s="125"/>
    </row>
    <row r="243" spans="1:15" hidden="1" outlineLevel="1" x14ac:dyDescent="0.25">
      <c r="A243" s="85"/>
      <c r="B243" s="210"/>
      <c r="C243" s="221" t="s">
        <v>411</v>
      </c>
      <c r="D243" s="510">
        <v>20</v>
      </c>
      <c r="E243" s="512">
        <v>1.25</v>
      </c>
      <c r="F243" s="512">
        <v>1.2</v>
      </c>
      <c r="G243" s="512">
        <v>0.8</v>
      </c>
      <c r="H243" s="512">
        <v>0.7</v>
      </c>
      <c r="I243" s="510">
        <v>75</v>
      </c>
      <c r="J243" s="510">
        <v>85</v>
      </c>
      <c r="K243" s="275">
        <v>2.5</v>
      </c>
      <c r="L243" s="275">
        <v>2</v>
      </c>
      <c r="M243" s="221">
        <v>162</v>
      </c>
      <c r="N243" s="125"/>
      <c r="O243" s="125"/>
    </row>
    <row r="244" spans="1:15" hidden="1" outlineLevel="1" x14ac:dyDescent="0.25">
      <c r="A244" s="85"/>
      <c r="B244" s="210"/>
      <c r="C244" s="221" t="s">
        <v>410</v>
      </c>
      <c r="D244" s="274">
        <v>17</v>
      </c>
      <c r="E244" s="206">
        <v>0.95</v>
      </c>
      <c r="F244" s="206">
        <v>0.95</v>
      </c>
      <c r="G244" s="206">
        <v>0.95</v>
      </c>
      <c r="H244" s="206">
        <v>0.9</v>
      </c>
      <c r="I244" s="274">
        <v>110</v>
      </c>
      <c r="J244" s="274">
        <v>100</v>
      </c>
      <c r="K244" s="275">
        <v>2.8</v>
      </c>
      <c r="L244" s="275">
        <v>2.1</v>
      </c>
      <c r="M244" s="221">
        <v>161</v>
      </c>
      <c r="N244" s="125"/>
      <c r="O244" s="125"/>
    </row>
    <row r="245" spans="1:15" hidden="1" outlineLevel="1" x14ac:dyDescent="0.25">
      <c r="A245" s="85"/>
      <c r="B245" s="210"/>
      <c r="C245" s="221" t="s">
        <v>412</v>
      </c>
      <c r="D245" s="274">
        <v>19</v>
      </c>
      <c r="E245" s="206">
        <v>1.05</v>
      </c>
      <c r="F245" s="206">
        <v>1.05</v>
      </c>
      <c r="G245" s="206">
        <v>0.85</v>
      </c>
      <c r="H245" s="206">
        <v>0.8</v>
      </c>
      <c r="I245" s="274">
        <v>100</v>
      </c>
      <c r="J245" s="274">
        <v>90</v>
      </c>
      <c r="K245" s="275">
        <v>2.5</v>
      </c>
      <c r="L245" s="275">
        <v>2</v>
      </c>
      <c r="M245" s="510"/>
      <c r="N245" s="125"/>
      <c r="O245" s="125"/>
    </row>
    <row r="246" spans="1:15" hidden="1" outlineLevel="1" x14ac:dyDescent="0.25">
      <c r="A246" s="85"/>
      <c r="B246" s="210"/>
      <c r="C246" s="221" t="s">
        <v>415</v>
      </c>
      <c r="D246" s="274">
        <v>10</v>
      </c>
      <c r="E246" s="206">
        <v>0.83</v>
      </c>
      <c r="F246" s="206">
        <v>0.87</v>
      </c>
      <c r="G246" s="206">
        <v>1.0900000000000001</v>
      </c>
      <c r="H246" s="206">
        <v>1.06</v>
      </c>
      <c r="I246" s="274">
        <v>161</v>
      </c>
      <c r="J246" s="274">
        <v>106</v>
      </c>
      <c r="K246" s="275">
        <v>1.9</v>
      </c>
      <c r="L246" s="275">
        <v>3.9</v>
      </c>
      <c r="M246" s="510"/>
      <c r="N246" s="125"/>
      <c r="O246" s="125"/>
    </row>
    <row r="247" spans="1:15" s="473" customFormat="1" hidden="1" outlineLevel="1" x14ac:dyDescent="0.25">
      <c r="A247" s="371"/>
      <c r="B247" s="210"/>
      <c r="C247" s="221" t="s">
        <v>414</v>
      </c>
      <c r="D247" s="510">
        <v>19</v>
      </c>
      <c r="E247" s="512">
        <v>0.88</v>
      </c>
      <c r="F247" s="512">
        <v>0.91</v>
      </c>
      <c r="G247" s="512">
        <v>0.89</v>
      </c>
      <c r="H247" s="512">
        <v>0.84</v>
      </c>
      <c r="I247" s="510">
        <v>154</v>
      </c>
      <c r="J247" s="510">
        <v>99</v>
      </c>
      <c r="K247" s="275">
        <v>2.2999999999999998</v>
      </c>
      <c r="L247" s="275">
        <v>3.7</v>
      </c>
      <c r="M247" s="510"/>
      <c r="N247" s="366"/>
      <c r="O247" s="366"/>
    </row>
    <row r="248" spans="1:15" hidden="1" outlineLevel="1" x14ac:dyDescent="0.25">
      <c r="A248" s="85"/>
      <c r="B248" s="85"/>
      <c r="C248" s="474"/>
      <c r="D248" s="478"/>
      <c r="E248" s="476"/>
      <c r="F248" s="475"/>
      <c r="G248" s="476"/>
      <c r="H248" s="475"/>
      <c r="I248" s="475"/>
      <c r="J248" s="475"/>
      <c r="K248" s="477"/>
      <c r="L248" s="477"/>
      <c r="M248" s="474"/>
      <c r="N248" s="125"/>
      <c r="O248" s="125"/>
    </row>
    <row r="249" spans="1:15" hidden="1" outlineLevel="1" x14ac:dyDescent="0.25">
      <c r="A249" s="85"/>
      <c r="B249" s="85"/>
      <c r="C249" s="474"/>
      <c r="D249" s="478"/>
      <c r="E249" s="476"/>
      <c r="F249" s="475"/>
      <c r="G249" s="476"/>
      <c r="H249" s="475"/>
      <c r="I249" s="475"/>
      <c r="J249" s="475"/>
      <c r="K249" s="477"/>
      <c r="L249" s="477"/>
      <c r="M249" s="474"/>
      <c r="N249" s="125"/>
      <c r="O249" s="125"/>
    </row>
    <row r="250" spans="1:15" s="473" customFormat="1" hidden="1" outlineLevel="1" x14ac:dyDescent="0.25">
      <c r="A250" s="371"/>
      <c r="B250" s="371"/>
      <c r="C250" s="474"/>
      <c r="D250" s="478"/>
      <c r="E250" s="476"/>
      <c r="F250" s="475"/>
      <c r="G250" s="476"/>
      <c r="H250" s="475"/>
      <c r="I250" s="475"/>
      <c r="J250" s="475"/>
      <c r="K250" s="477"/>
      <c r="L250" s="477"/>
      <c r="M250" s="474"/>
      <c r="N250" s="366"/>
      <c r="O250" s="366"/>
    </row>
    <row r="251" spans="1:15" hidden="1" outlineLevel="1" x14ac:dyDescent="0.25">
      <c r="A251" s="85"/>
      <c r="B251" s="85"/>
      <c r="C251" s="652"/>
      <c r="D251" s="653"/>
      <c r="E251" s="654"/>
      <c r="F251" s="655"/>
      <c r="G251" s="654"/>
      <c r="H251" s="655"/>
      <c r="I251" s="655"/>
      <c r="J251" s="655"/>
      <c r="K251" s="656"/>
      <c r="L251" s="656"/>
      <c r="M251" s="652"/>
      <c r="N251" s="125"/>
      <c r="O251" s="125"/>
    </row>
    <row r="252" spans="1:15" hidden="1" outlineLevel="1" x14ac:dyDescent="0.25">
      <c r="A252" s="85"/>
      <c r="B252" s="85"/>
      <c r="C252" s="371"/>
      <c r="D252" s="270" t="s">
        <v>87</v>
      </c>
      <c r="E252" s="270" t="s">
        <v>2</v>
      </c>
      <c r="F252" s="270" t="s">
        <v>253</v>
      </c>
      <c r="G252" s="270" t="s">
        <v>0</v>
      </c>
      <c r="H252" s="270" t="s">
        <v>254</v>
      </c>
      <c r="I252" s="270" t="s">
        <v>82</v>
      </c>
      <c r="J252" s="270" t="s">
        <v>83</v>
      </c>
      <c r="K252" s="270" t="s">
        <v>3</v>
      </c>
      <c r="L252" s="270" t="s">
        <v>4</v>
      </c>
      <c r="M252" s="270"/>
      <c r="N252" s="125"/>
      <c r="O252" s="125"/>
    </row>
    <row r="253" spans="1:15" hidden="1" outlineLevel="1" x14ac:dyDescent="0.2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125"/>
      <c r="O253" s="125"/>
    </row>
    <row r="254" spans="1:15" hidden="1" outlineLevel="1" x14ac:dyDescent="0.2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125"/>
      <c r="O254" s="125"/>
    </row>
    <row r="255" spans="1:15" hidden="1" outlineLevel="1" x14ac:dyDescent="0.2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</row>
    <row r="256" spans="1:15" hidden="1" outlineLevel="1" x14ac:dyDescent="0.25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</row>
    <row r="257" spans="1:15" ht="30" hidden="1" customHeight="1" outlineLevel="1" x14ac:dyDescent="0.25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</row>
    <row r="258" spans="1:15" s="125" customFormat="1" ht="15" hidden="1" customHeight="1" outlineLevel="1" x14ac:dyDescent="0.25"/>
    <row r="259" spans="1:15" s="125" customFormat="1" ht="15" hidden="1" customHeight="1" outlineLevel="1" x14ac:dyDescent="0.25">
      <c r="C259" s="272"/>
      <c r="D259" s="273" t="s">
        <v>118</v>
      </c>
      <c r="E259" s="273" t="s">
        <v>2</v>
      </c>
      <c r="F259" s="273" t="s">
        <v>253</v>
      </c>
      <c r="G259" s="273" t="s">
        <v>0</v>
      </c>
      <c r="H259" s="273" t="s">
        <v>254</v>
      </c>
      <c r="I259" s="273" t="s">
        <v>82</v>
      </c>
      <c r="J259" s="273" t="s">
        <v>83</v>
      </c>
      <c r="K259" s="273" t="s">
        <v>16</v>
      </c>
      <c r="L259" s="273" t="s">
        <v>17</v>
      </c>
      <c r="M259" s="221"/>
    </row>
    <row r="260" spans="1:15" hidden="1" outlineLevel="1" x14ac:dyDescent="0.25">
      <c r="A260" s="125"/>
      <c r="B260" s="125"/>
      <c r="C260" s="474" t="s">
        <v>1199</v>
      </c>
      <c r="D260" s="478">
        <v>13</v>
      </c>
      <c r="E260" s="476">
        <v>0.91</v>
      </c>
      <c r="F260" s="475">
        <v>1.2</v>
      </c>
      <c r="G260" s="476">
        <v>1.1499999999999999</v>
      </c>
      <c r="H260" s="475">
        <v>1.1599999999999999</v>
      </c>
      <c r="I260" s="475">
        <v>62</v>
      </c>
      <c r="J260" s="475">
        <v>86</v>
      </c>
      <c r="K260" s="477">
        <v>1.1000000000000001</v>
      </c>
      <c r="L260" s="477">
        <v>0.5</v>
      </c>
      <c r="M260" s="474"/>
      <c r="N260" s="125"/>
      <c r="O260" s="125"/>
    </row>
    <row r="261" spans="1:15" hidden="1" outlineLevel="1" x14ac:dyDescent="0.25">
      <c r="C261" s="221" t="s">
        <v>278</v>
      </c>
      <c r="D261" s="510">
        <v>55</v>
      </c>
      <c r="E261" s="512">
        <v>1.53</v>
      </c>
      <c r="F261" s="512">
        <v>1.26</v>
      </c>
      <c r="G261" s="512">
        <v>0.67</v>
      </c>
      <c r="H261" s="512">
        <v>0.59</v>
      </c>
      <c r="I261" s="510">
        <v>66</v>
      </c>
      <c r="J261" s="510">
        <v>68</v>
      </c>
      <c r="K261" s="275">
        <v>1.4</v>
      </c>
      <c r="L261" s="275">
        <v>1.3</v>
      </c>
      <c r="M261" s="221">
        <v>27</v>
      </c>
    </row>
    <row r="262" spans="1:15" hidden="1" outlineLevel="1" x14ac:dyDescent="0.25">
      <c r="C262" s="221" t="s">
        <v>277</v>
      </c>
      <c r="D262" s="510">
        <v>55</v>
      </c>
      <c r="E262" s="512">
        <v>1.41</v>
      </c>
      <c r="F262" s="512">
        <v>1.1399999999999999</v>
      </c>
      <c r="G262" s="512">
        <v>0.73</v>
      </c>
      <c r="H262" s="512">
        <v>0.65</v>
      </c>
      <c r="I262" s="510">
        <v>82</v>
      </c>
      <c r="J262" s="510">
        <v>75</v>
      </c>
      <c r="K262" s="275">
        <v>1.6</v>
      </c>
      <c r="L262" s="275">
        <v>1.3</v>
      </c>
      <c r="M262" s="221">
        <v>26</v>
      </c>
    </row>
    <row r="263" spans="1:15" hidden="1" outlineLevel="1" x14ac:dyDescent="0.25">
      <c r="C263" s="221" t="s">
        <v>292</v>
      </c>
      <c r="D263" s="510" t="s">
        <v>238</v>
      </c>
      <c r="E263" s="512" t="s">
        <v>238</v>
      </c>
      <c r="F263" s="512" t="s">
        <v>238</v>
      </c>
      <c r="G263" s="512" t="s">
        <v>238</v>
      </c>
      <c r="H263" s="512" t="s">
        <v>238</v>
      </c>
      <c r="I263" s="512" t="s">
        <v>238</v>
      </c>
      <c r="J263" s="512" t="s">
        <v>238</v>
      </c>
      <c r="K263" s="512" t="s">
        <v>238</v>
      </c>
      <c r="L263" s="512" t="s">
        <v>238</v>
      </c>
      <c r="M263" s="221">
        <v>28</v>
      </c>
    </row>
    <row r="264" spans="1:15" hidden="1" outlineLevel="1" x14ac:dyDescent="0.25">
      <c r="C264" s="221" t="s">
        <v>279</v>
      </c>
      <c r="D264" s="510">
        <v>55</v>
      </c>
      <c r="E264" s="512">
        <v>1.4</v>
      </c>
      <c r="F264" s="512">
        <v>1.1299999999999999</v>
      </c>
      <c r="G264" s="512">
        <v>0.71</v>
      </c>
      <c r="H264" s="512">
        <v>0.63</v>
      </c>
      <c r="I264" s="510">
        <v>85</v>
      </c>
      <c r="J264" s="510">
        <v>77</v>
      </c>
      <c r="K264" s="275">
        <v>1.8</v>
      </c>
      <c r="L264" s="275">
        <v>1.8</v>
      </c>
      <c r="M264" s="221">
        <v>29</v>
      </c>
    </row>
    <row r="265" spans="1:15" hidden="1" outlineLevel="1" x14ac:dyDescent="0.25">
      <c r="C265" s="221" t="s">
        <v>275</v>
      </c>
      <c r="D265" s="510">
        <v>33</v>
      </c>
      <c r="E265" s="512">
        <v>1.76</v>
      </c>
      <c r="F265" s="512">
        <v>1.23</v>
      </c>
      <c r="G265" s="512">
        <v>0.67</v>
      </c>
      <c r="H265" s="512">
        <v>0.57999999999999996</v>
      </c>
      <c r="I265" s="510">
        <v>69</v>
      </c>
      <c r="J265" s="510">
        <v>58</v>
      </c>
      <c r="K265" s="275">
        <v>1.4</v>
      </c>
      <c r="L265" s="275">
        <v>1.3</v>
      </c>
      <c r="M265" s="221">
        <v>23</v>
      </c>
    </row>
    <row r="266" spans="1:15" hidden="1" outlineLevel="1" x14ac:dyDescent="0.25">
      <c r="C266" s="221" t="s">
        <v>274</v>
      </c>
      <c r="D266" s="510">
        <v>33</v>
      </c>
      <c r="E266" s="512">
        <v>1.48</v>
      </c>
      <c r="F266" s="512">
        <v>1.1299999999999999</v>
      </c>
      <c r="G266" s="512">
        <v>0.73</v>
      </c>
      <c r="H266" s="512">
        <v>0.65</v>
      </c>
      <c r="I266" s="510">
        <v>83</v>
      </c>
      <c r="J266" s="510">
        <v>63</v>
      </c>
      <c r="K266" s="275">
        <v>1.6</v>
      </c>
      <c r="L266" s="275">
        <v>1.3</v>
      </c>
      <c r="M266" s="221">
        <v>22</v>
      </c>
    </row>
    <row r="267" spans="1:15" hidden="1" outlineLevel="1" x14ac:dyDescent="0.25">
      <c r="C267" s="221" t="s">
        <v>291</v>
      </c>
      <c r="D267" s="510" t="s">
        <v>238</v>
      </c>
      <c r="E267" s="512" t="s">
        <v>238</v>
      </c>
      <c r="F267" s="512" t="s">
        <v>238</v>
      </c>
      <c r="G267" s="512" t="s">
        <v>238</v>
      </c>
      <c r="H267" s="512" t="s">
        <v>238</v>
      </c>
      <c r="I267" s="512" t="s">
        <v>238</v>
      </c>
      <c r="J267" s="512" t="s">
        <v>238</v>
      </c>
      <c r="K267" s="512" t="s">
        <v>238</v>
      </c>
      <c r="L267" s="512" t="s">
        <v>238</v>
      </c>
      <c r="M267" s="221">
        <v>24</v>
      </c>
    </row>
    <row r="268" spans="1:15" hidden="1" outlineLevel="1" x14ac:dyDescent="0.25">
      <c r="C268" s="221" t="s">
        <v>276</v>
      </c>
      <c r="D268" s="510">
        <v>33</v>
      </c>
      <c r="E268" s="512">
        <v>1.46</v>
      </c>
      <c r="F268" s="512">
        <v>1.1200000000000001</v>
      </c>
      <c r="G268" s="512">
        <v>0.72</v>
      </c>
      <c r="H268" s="512">
        <v>0.64</v>
      </c>
      <c r="I268" s="510">
        <v>85</v>
      </c>
      <c r="J268" s="510">
        <v>64</v>
      </c>
      <c r="K268" s="275">
        <v>1.8</v>
      </c>
      <c r="L268" s="275">
        <v>1.8</v>
      </c>
      <c r="M268" s="221">
        <v>25</v>
      </c>
    </row>
    <row r="269" spans="1:15" hidden="1" outlineLevel="1" x14ac:dyDescent="0.25">
      <c r="C269" s="221" t="s">
        <v>272</v>
      </c>
      <c r="D269" s="510">
        <v>21</v>
      </c>
      <c r="E269" s="512">
        <v>1.48</v>
      </c>
      <c r="F269" s="512">
        <v>1.4</v>
      </c>
      <c r="G269" s="512">
        <v>0.73</v>
      </c>
      <c r="H269" s="512">
        <v>0.64</v>
      </c>
      <c r="I269" s="510">
        <v>65</v>
      </c>
      <c r="J269" s="510">
        <v>49</v>
      </c>
      <c r="K269" s="275">
        <v>1.4</v>
      </c>
      <c r="L269" s="275">
        <v>1.3</v>
      </c>
      <c r="M269" s="221">
        <v>19</v>
      </c>
    </row>
    <row r="270" spans="1:15" hidden="1" outlineLevel="1" x14ac:dyDescent="0.25">
      <c r="C270" s="221" t="s">
        <v>271</v>
      </c>
      <c r="D270" s="510">
        <v>21</v>
      </c>
      <c r="E270" s="512">
        <v>1.39</v>
      </c>
      <c r="F270" s="512">
        <v>1.31</v>
      </c>
      <c r="G270" s="512">
        <v>0.79</v>
      </c>
      <c r="H270" s="512">
        <v>0.72</v>
      </c>
      <c r="I270" s="510">
        <v>78</v>
      </c>
      <c r="J270" s="510">
        <v>53</v>
      </c>
      <c r="K270" s="275">
        <v>1.6</v>
      </c>
      <c r="L270" s="275">
        <v>1.3</v>
      </c>
      <c r="M270" s="221">
        <v>18</v>
      </c>
    </row>
    <row r="271" spans="1:15" hidden="1" outlineLevel="1" x14ac:dyDescent="0.25">
      <c r="C271" s="221" t="s">
        <v>290</v>
      </c>
      <c r="D271" s="510" t="s">
        <v>238</v>
      </c>
      <c r="E271" s="512" t="s">
        <v>238</v>
      </c>
      <c r="F271" s="512" t="s">
        <v>238</v>
      </c>
      <c r="G271" s="512" t="s">
        <v>238</v>
      </c>
      <c r="H271" s="512" t="s">
        <v>238</v>
      </c>
      <c r="I271" s="512" t="s">
        <v>238</v>
      </c>
      <c r="J271" s="512" t="s">
        <v>238</v>
      </c>
      <c r="K271" s="512" t="s">
        <v>238</v>
      </c>
      <c r="L271" s="512" t="s">
        <v>238</v>
      </c>
      <c r="M271" s="221">
        <v>20</v>
      </c>
    </row>
    <row r="272" spans="1:15" hidden="1" outlineLevel="1" x14ac:dyDescent="0.25">
      <c r="C272" s="221" t="s">
        <v>273</v>
      </c>
      <c r="D272" s="510">
        <v>21</v>
      </c>
      <c r="E272" s="512">
        <v>1.38</v>
      </c>
      <c r="F272" s="512">
        <v>1.26</v>
      </c>
      <c r="G272" s="512">
        <v>0.78</v>
      </c>
      <c r="H272" s="512">
        <v>0.7</v>
      </c>
      <c r="I272" s="510">
        <v>81</v>
      </c>
      <c r="J272" s="510">
        <v>55</v>
      </c>
      <c r="K272" s="275">
        <v>1.8</v>
      </c>
      <c r="L272" s="275">
        <v>1.8</v>
      </c>
      <c r="M272" s="221">
        <v>21</v>
      </c>
    </row>
    <row r="273" spans="3:13" hidden="1" outlineLevel="1" x14ac:dyDescent="0.25">
      <c r="C273" s="221" t="s">
        <v>329</v>
      </c>
      <c r="D273" s="202">
        <v>55</v>
      </c>
      <c r="E273" s="203">
        <v>1.2</v>
      </c>
      <c r="F273" s="203">
        <v>1.07</v>
      </c>
      <c r="G273" s="203">
        <v>0.67</v>
      </c>
      <c r="H273" s="203">
        <v>0.56999999999999995</v>
      </c>
      <c r="I273" s="202">
        <v>105</v>
      </c>
      <c r="J273" s="202">
        <v>75</v>
      </c>
      <c r="K273" s="204">
        <v>1.7</v>
      </c>
      <c r="L273" s="204">
        <v>3.8</v>
      </c>
      <c r="M273" s="221">
        <v>75</v>
      </c>
    </row>
    <row r="274" spans="3:13" hidden="1" outlineLevel="1" x14ac:dyDescent="0.25">
      <c r="C274" s="221" t="s">
        <v>328</v>
      </c>
      <c r="D274" s="202">
        <v>55</v>
      </c>
      <c r="E274" s="203">
        <v>1.19</v>
      </c>
      <c r="F274" s="203">
        <v>1.07</v>
      </c>
      <c r="G274" s="203">
        <v>0.71</v>
      </c>
      <c r="H274" s="203">
        <v>0.62</v>
      </c>
      <c r="I274" s="202">
        <v>113</v>
      </c>
      <c r="J274" s="202">
        <v>79</v>
      </c>
      <c r="K274" s="204">
        <v>1.7</v>
      </c>
      <c r="L274" s="204">
        <v>3.8</v>
      </c>
      <c r="M274" s="221">
        <v>74</v>
      </c>
    </row>
    <row r="275" spans="3:13" hidden="1" outlineLevel="1" x14ac:dyDescent="0.25">
      <c r="C275" s="221" t="s">
        <v>330</v>
      </c>
      <c r="D275" s="202" t="s">
        <v>238</v>
      </c>
      <c r="E275" s="202" t="s">
        <v>238</v>
      </c>
      <c r="F275" s="202" t="s">
        <v>238</v>
      </c>
      <c r="G275" s="202" t="s">
        <v>238</v>
      </c>
      <c r="H275" s="202" t="s">
        <v>238</v>
      </c>
      <c r="I275" s="202" t="s">
        <v>238</v>
      </c>
      <c r="J275" s="202" t="s">
        <v>238</v>
      </c>
      <c r="K275" s="202" t="s">
        <v>238</v>
      </c>
      <c r="L275" s="202" t="s">
        <v>238</v>
      </c>
      <c r="M275" s="221">
        <v>76</v>
      </c>
    </row>
    <row r="276" spans="3:13" hidden="1" outlineLevel="1" x14ac:dyDescent="0.25">
      <c r="C276" s="221" t="s">
        <v>331</v>
      </c>
      <c r="D276" s="202">
        <v>55</v>
      </c>
      <c r="E276" s="203">
        <v>1.17</v>
      </c>
      <c r="F276" s="203">
        <v>1.08</v>
      </c>
      <c r="G276" s="203">
        <v>0.7</v>
      </c>
      <c r="H276" s="203">
        <v>0.61</v>
      </c>
      <c r="I276" s="202">
        <v>114</v>
      </c>
      <c r="J276" s="202">
        <v>77</v>
      </c>
      <c r="K276" s="204">
        <v>1.5</v>
      </c>
      <c r="L276" s="204">
        <v>3.6</v>
      </c>
      <c r="M276" s="221">
        <v>77</v>
      </c>
    </row>
    <row r="277" spans="3:13" hidden="1" outlineLevel="1" x14ac:dyDescent="0.25">
      <c r="C277" s="221" t="s">
        <v>325</v>
      </c>
      <c r="D277" s="202" t="s">
        <v>238</v>
      </c>
      <c r="E277" s="202" t="s">
        <v>238</v>
      </c>
      <c r="F277" s="202" t="s">
        <v>238</v>
      </c>
      <c r="G277" s="202" t="s">
        <v>238</v>
      </c>
      <c r="H277" s="202" t="s">
        <v>238</v>
      </c>
      <c r="I277" s="202" t="s">
        <v>238</v>
      </c>
      <c r="J277" s="202" t="s">
        <v>238</v>
      </c>
      <c r="K277" s="202" t="s">
        <v>238</v>
      </c>
      <c r="L277" s="202" t="s">
        <v>238</v>
      </c>
      <c r="M277" s="221">
        <v>71</v>
      </c>
    </row>
    <row r="278" spans="3:13" hidden="1" outlineLevel="1" x14ac:dyDescent="0.25">
      <c r="C278" s="221" t="s">
        <v>324</v>
      </c>
      <c r="D278" s="202" t="s">
        <v>238</v>
      </c>
      <c r="E278" s="202" t="s">
        <v>238</v>
      </c>
      <c r="F278" s="202" t="s">
        <v>238</v>
      </c>
      <c r="G278" s="202" t="s">
        <v>238</v>
      </c>
      <c r="H278" s="202" t="s">
        <v>238</v>
      </c>
      <c r="I278" s="202" t="s">
        <v>238</v>
      </c>
      <c r="J278" s="202" t="s">
        <v>238</v>
      </c>
      <c r="K278" s="202" t="s">
        <v>238</v>
      </c>
      <c r="L278" s="202" t="s">
        <v>238</v>
      </c>
      <c r="M278" s="221">
        <v>70</v>
      </c>
    </row>
    <row r="279" spans="3:13" hidden="1" outlineLevel="1" x14ac:dyDescent="0.25">
      <c r="C279" s="221" t="s">
        <v>326</v>
      </c>
      <c r="D279" s="202" t="s">
        <v>238</v>
      </c>
      <c r="E279" s="202" t="s">
        <v>238</v>
      </c>
      <c r="F279" s="202" t="s">
        <v>238</v>
      </c>
      <c r="G279" s="202" t="s">
        <v>238</v>
      </c>
      <c r="H279" s="202" t="s">
        <v>238</v>
      </c>
      <c r="I279" s="202" t="s">
        <v>238</v>
      </c>
      <c r="J279" s="202" t="s">
        <v>238</v>
      </c>
      <c r="K279" s="202" t="s">
        <v>238</v>
      </c>
      <c r="L279" s="202" t="s">
        <v>238</v>
      </c>
      <c r="M279" s="221">
        <v>72</v>
      </c>
    </row>
    <row r="280" spans="3:13" hidden="1" outlineLevel="1" x14ac:dyDescent="0.25">
      <c r="C280" s="221" t="s">
        <v>327</v>
      </c>
      <c r="D280" s="202" t="s">
        <v>238</v>
      </c>
      <c r="E280" s="202" t="s">
        <v>238</v>
      </c>
      <c r="F280" s="202" t="s">
        <v>238</v>
      </c>
      <c r="G280" s="202" t="s">
        <v>238</v>
      </c>
      <c r="H280" s="202" t="s">
        <v>238</v>
      </c>
      <c r="I280" s="202" t="s">
        <v>238</v>
      </c>
      <c r="J280" s="202" t="s">
        <v>238</v>
      </c>
      <c r="K280" s="202" t="s">
        <v>238</v>
      </c>
      <c r="L280" s="202" t="s">
        <v>238</v>
      </c>
      <c r="M280" s="221">
        <v>73</v>
      </c>
    </row>
    <row r="281" spans="3:13" hidden="1" outlineLevel="1" x14ac:dyDescent="0.25">
      <c r="C281" s="221" t="s">
        <v>321</v>
      </c>
      <c r="D281" s="202" t="s">
        <v>238</v>
      </c>
      <c r="E281" s="202" t="s">
        <v>238</v>
      </c>
      <c r="F281" s="202" t="s">
        <v>238</v>
      </c>
      <c r="G281" s="202" t="s">
        <v>238</v>
      </c>
      <c r="H281" s="202" t="s">
        <v>238</v>
      </c>
      <c r="I281" s="202" t="s">
        <v>238</v>
      </c>
      <c r="J281" s="202" t="s">
        <v>238</v>
      </c>
      <c r="K281" s="202" t="s">
        <v>238</v>
      </c>
      <c r="L281" s="202" t="s">
        <v>238</v>
      </c>
      <c r="M281" s="221">
        <v>67</v>
      </c>
    </row>
    <row r="282" spans="3:13" hidden="1" outlineLevel="1" x14ac:dyDescent="0.25">
      <c r="C282" s="221" t="s">
        <v>320</v>
      </c>
      <c r="D282" s="202" t="s">
        <v>238</v>
      </c>
      <c r="E282" s="202" t="s">
        <v>238</v>
      </c>
      <c r="F282" s="202" t="s">
        <v>238</v>
      </c>
      <c r="G282" s="202" t="s">
        <v>238</v>
      </c>
      <c r="H282" s="202" t="s">
        <v>238</v>
      </c>
      <c r="I282" s="202" t="s">
        <v>238</v>
      </c>
      <c r="J282" s="202" t="s">
        <v>238</v>
      </c>
      <c r="K282" s="202" t="s">
        <v>238</v>
      </c>
      <c r="L282" s="202" t="s">
        <v>238</v>
      </c>
      <c r="M282" s="221">
        <v>66</v>
      </c>
    </row>
    <row r="283" spans="3:13" hidden="1" outlineLevel="1" x14ac:dyDescent="0.25">
      <c r="C283" s="221" t="s">
        <v>322</v>
      </c>
      <c r="D283" s="202" t="s">
        <v>238</v>
      </c>
      <c r="E283" s="202" t="s">
        <v>238</v>
      </c>
      <c r="F283" s="202" t="s">
        <v>238</v>
      </c>
      <c r="G283" s="202" t="s">
        <v>238</v>
      </c>
      <c r="H283" s="202" t="s">
        <v>238</v>
      </c>
      <c r="I283" s="202" t="s">
        <v>238</v>
      </c>
      <c r="J283" s="202" t="s">
        <v>238</v>
      </c>
      <c r="K283" s="202" t="s">
        <v>238</v>
      </c>
      <c r="L283" s="202" t="s">
        <v>238</v>
      </c>
      <c r="M283" s="221">
        <v>68</v>
      </c>
    </row>
    <row r="284" spans="3:13" hidden="1" outlineLevel="1" x14ac:dyDescent="0.25">
      <c r="C284" s="221" t="s">
        <v>323</v>
      </c>
      <c r="D284" s="202" t="s">
        <v>238</v>
      </c>
      <c r="E284" s="202" t="s">
        <v>238</v>
      </c>
      <c r="F284" s="202" t="s">
        <v>238</v>
      </c>
      <c r="G284" s="202" t="s">
        <v>238</v>
      </c>
      <c r="H284" s="202" t="s">
        <v>238</v>
      </c>
      <c r="I284" s="202" t="s">
        <v>238</v>
      </c>
      <c r="J284" s="202" t="s">
        <v>238</v>
      </c>
      <c r="K284" s="202" t="s">
        <v>238</v>
      </c>
      <c r="L284" s="202" t="s">
        <v>238</v>
      </c>
      <c r="M284" s="221">
        <v>69</v>
      </c>
    </row>
    <row r="285" spans="3:13" hidden="1" outlineLevel="1" x14ac:dyDescent="0.25">
      <c r="C285" s="221" t="s">
        <v>287</v>
      </c>
      <c r="D285" s="510">
        <v>55</v>
      </c>
      <c r="E285" s="512">
        <v>1.37</v>
      </c>
      <c r="F285" s="512">
        <v>1.1599999999999999</v>
      </c>
      <c r="G285" s="512">
        <v>0.69</v>
      </c>
      <c r="H285" s="512">
        <v>0.6</v>
      </c>
      <c r="I285" s="510">
        <v>91</v>
      </c>
      <c r="J285" s="510">
        <v>74</v>
      </c>
      <c r="K285" s="275">
        <v>1.5</v>
      </c>
      <c r="L285" s="275">
        <v>2.4</v>
      </c>
      <c r="M285" s="221">
        <v>39</v>
      </c>
    </row>
    <row r="286" spans="3:13" hidden="1" outlineLevel="1" x14ac:dyDescent="0.25">
      <c r="C286" s="221" t="s">
        <v>286</v>
      </c>
      <c r="D286" s="510">
        <v>55</v>
      </c>
      <c r="E286" s="512">
        <v>1.26</v>
      </c>
      <c r="F286" s="512">
        <v>1.07</v>
      </c>
      <c r="G286" s="512">
        <v>0.76</v>
      </c>
      <c r="H286" s="512">
        <v>0.68</v>
      </c>
      <c r="I286" s="510">
        <v>107</v>
      </c>
      <c r="J286" s="510">
        <v>82</v>
      </c>
      <c r="K286" s="275">
        <v>1.5</v>
      </c>
      <c r="L286" s="275">
        <v>2.4</v>
      </c>
      <c r="M286" s="221">
        <v>38</v>
      </c>
    </row>
    <row r="287" spans="3:13" hidden="1" outlineLevel="1" x14ac:dyDescent="0.25">
      <c r="C287" s="221" t="s">
        <v>295</v>
      </c>
      <c r="D287" s="510" t="s">
        <v>238</v>
      </c>
      <c r="E287" s="512" t="s">
        <v>238</v>
      </c>
      <c r="F287" s="512" t="s">
        <v>238</v>
      </c>
      <c r="G287" s="512" t="s">
        <v>238</v>
      </c>
      <c r="H287" s="512" t="s">
        <v>238</v>
      </c>
      <c r="I287" s="512" t="s">
        <v>238</v>
      </c>
      <c r="J287" s="512" t="s">
        <v>238</v>
      </c>
      <c r="K287" s="512" t="s">
        <v>238</v>
      </c>
      <c r="L287" s="512" t="s">
        <v>238</v>
      </c>
      <c r="M287" s="221">
        <v>40</v>
      </c>
    </row>
    <row r="288" spans="3:13" hidden="1" outlineLevel="1" x14ac:dyDescent="0.25">
      <c r="C288" s="221" t="s">
        <v>288</v>
      </c>
      <c r="D288" s="510">
        <v>55</v>
      </c>
      <c r="E288" s="512">
        <v>1.27</v>
      </c>
      <c r="F288" s="512">
        <v>1.0900000000000001</v>
      </c>
      <c r="G288" s="512">
        <v>0.71</v>
      </c>
      <c r="H288" s="512">
        <v>0.62</v>
      </c>
      <c r="I288" s="510">
        <v>103</v>
      </c>
      <c r="J288" s="510">
        <v>78</v>
      </c>
      <c r="K288" s="275">
        <v>1.5</v>
      </c>
      <c r="L288" s="275">
        <v>2.8</v>
      </c>
      <c r="M288" s="221">
        <v>41</v>
      </c>
    </row>
    <row r="289" spans="3:13" hidden="1" outlineLevel="1" x14ac:dyDescent="0.25">
      <c r="C289" s="221" t="s">
        <v>284</v>
      </c>
      <c r="D289" s="510">
        <v>33</v>
      </c>
      <c r="E289" s="512">
        <v>1.1599999999999999</v>
      </c>
      <c r="F289" s="512">
        <v>1.1200000000000001</v>
      </c>
      <c r="G289" s="512">
        <v>0.73</v>
      </c>
      <c r="H289" s="512">
        <v>0.64</v>
      </c>
      <c r="I289" s="510">
        <v>98</v>
      </c>
      <c r="J289" s="510">
        <v>65</v>
      </c>
      <c r="K289" s="275">
        <v>1.5</v>
      </c>
      <c r="L289" s="275">
        <v>2.4</v>
      </c>
      <c r="M289" s="221">
        <v>35</v>
      </c>
    </row>
    <row r="290" spans="3:13" hidden="1" outlineLevel="1" x14ac:dyDescent="0.25">
      <c r="C290" s="221" t="s">
        <v>283</v>
      </c>
      <c r="D290" s="510">
        <v>33</v>
      </c>
      <c r="E290" s="512">
        <v>1.21</v>
      </c>
      <c r="F290" s="512">
        <v>1.01</v>
      </c>
      <c r="G290" s="512">
        <v>0.8</v>
      </c>
      <c r="H290" s="512">
        <v>0.73</v>
      </c>
      <c r="I290" s="510">
        <v>113</v>
      </c>
      <c r="J290" s="510">
        <v>71</v>
      </c>
      <c r="K290" s="275">
        <v>1.5</v>
      </c>
      <c r="L290" s="275">
        <v>2.4</v>
      </c>
      <c r="M290" s="221">
        <v>34</v>
      </c>
    </row>
    <row r="291" spans="3:13" hidden="1" outlineLevel="1" x14ac:dyDescent="0.25">
      <c r="C291" s="221" t="s">
        <v>294</v>
      </c>
      <c r="D291" s="510" t="s">
        <v>238</v>
      </c>
      <c r="E291" s="512" t="s">
        <v>238</v>
      </c>
      <c r="F291" s="512" t="s">
        <v>238</v>
      </c>
      <c r="G291" s="512" t="s">
        <v>238</v>
      </c>
      <c r="H291" s="512" t="s">
        <v>238</v>
      </c>
      <c r="I291" s="512" t="s">
        <v>238</v>
      </c>
      <c r="J291" s="512" t="s">
        <v>238</v>
      </c>
      <c r="K291" s="512" t="s">
        <v>238</v>
      </c>
      <c r="L291" s="512" t="s">
        <v>238</v>
      </c>
      <c r="M291" s="221">
        <v>32</v>
      </c>
    </row>
    <row r="292" spans="3:13" hidden="1" outlineLevel="1" x14ac:dyDescent="0.25">
      <c r="C292" s="221" t="s">
        <v>285</v>
      </c>
      <c r="D292" s="510">
        <v>33</v>
      </c>
      <c r="E292" s="512">
        <v>1.23</v>
      </c>
      <c r="F292" s="512">
        <v>1.04</v>
      </c>
      <c r="G292" s="512">
        <v>0.73</v>
      </c>
      <c r="H292" s="512">
        <v>0.64</v>
      </c>
      <c r="I292" s="510">
        <v>106</v>
      </c>
      <c r="J292" s="510">
        <v>66</v>
      </c>
      <c r="K292" s="275">
        <v>1.5</v>
      </c>
      <c r="L292" s="275">
        <v>2.8</v>
      </c>
      <c r="M292" s="221">
        <v>37</v>
      </c>
    </row>
    <row r="293" spans="3:13" hidden="1" outlineLevel="1" x14ac:dyDescent="0.25">
      <c r="C293" s="221" t="s">
        <v>281</v>
      </c>
      <c r="D293" s="510">
        <v>21</v>
      </c>
      <c r="E293" s="512">
        <v>1.32</v>
      </c>
      <c r="F293" s="512">
        <v>1.32</v>
      </c>
      <c r="G293" s="512">
        <v>0.79</v>
      </c>
      <c r="H293" s="512">
        <v>0.71</v>
      </c>
      <c r="I293" s="510">
        <v>90</v>
      </c>
      <c r="J293" s="510">
        <v>55</v>
      </c>
      <c r="K293" s="275">
        <v>1.5</v>
      </c>
      <c r="L293" s="275">
        <v>2.4</v>
      </c>
      <c r="M293" s="221">
        <v>31</v>
      </c>
    </row>
    <row r="294" spans="3:13" hidden="1" outlineLevel="1" x14ac:dyDescent="0.25">
      <c r="C294" s="221" t="s">
        <v>280</v>
      </c>
      <c r="D294" s="510">
        <v>21</v>
      </c>
      <c r="E294" s="512">
        <v>1.22</v>
      </c>
      <c r="F294" s="512">
        <v>1.22</v>
      </c>
      <c r="G294" s="512">
        <v>0.87</v>
      </c>
      <c r="H294" s="512">
        <v>0.8</v>
      </c>
      <c r="I294" s="510">
        <v>102</v>
      </c>
      <c r="J294" s="510">
        <v>60</v>
      </c>
      <c r="K294" s="275">
        <v>1.5</v>
      </c>
      <c r="L294" s="275">
        <v>2.4</v>
      </c>
      <c r="M294" s="221">
        <v>30</v>
      </c>
    </row>
    <row r="295" spans="3:13" hidden="1" outlineLevel="1" x14ac:dyDescent="0.25">
      <c r="C295" s="221" t="s">
        <v>293</v>
      </c>
      <c r="D295" s="510" t="s">
        <v>238</v>
      </c>
      <c r="E295" s="512" t="s">
        <v>238</v>
      </c>
      <c r="F295" s="512" t="s">
        <v>238</v>
      </c>
      <c r="G295" s="512" t="s">
        <v>238</v>
      </c>
      <c r="H295" s="512" t="s">
        <v>238</v>
      </c>
      <c r="I295" s="512" t="s">
        <v>238</v>
      </c>
      <c r="J295" s="512" t="s">
        <v>238</v>
      </c>
      <c r="K295" s="512" t="s">
        <v>238</v>
      </c>
      <c r="L295" s="512" t="s">
        <v>238</v>
      </c>
      <c r="M295" s="221">
        <v>36</v>
      </c>
    </row>
    <row r="296" spans="3:13" hidden="1" outlineLevel="1" x14ac:dyDescent="0.25">
      <c r="C296" s="221" t="s">
        <v>282</v>
      </c>
      <c r="D296" s="510">
        <v>21</v>
      </c>
      <c r="E296" s="512">
        <v>1.23</v>
      </c>
      <c r="F296" s="512">
        <v>1.17</v>
      </c>
      <c r="G296" s="512">
        <v>0.78</v>
      </c>
      <c r="H296" s="512">
        <v>0.69</v>
      </c>
      <c r="I296" s="512">
        <v>98</v>
      </c>
      <c r="J296" s="512">
        <v>56</v>
      </c>
      <c r="K296" s="275">
        <v>1.5</v>
      </c>
      <c r="L296" s="275">
        <v>2.8</v>
      </c>
      <c r="M296" s="221">
        <v>33</v>
      </c>
    </row>
    <row r="297" spans="3:13" hidden="1" outlineLevel="1" x14ac:dyDescent="0.25">
      <c r="C297" s="221" t="s">
        <v>266</v>
      </c>
      <c r="D297" s="510">
        <v>25</v>
      </c>
      <c r="E297" s="512">
        <v>1.28</v>
      </c>
      <c r="F297" s="512">
        <v>1.23</v>
      </c>
      <c r="G297" s="512">
        <v>0.9</v>
      </c>
      <c r="H297" s="512">
        <v>0.8</v>
      </c>
      <c r="I297" s="510">
        <v>44</v>
      </c>
      <c r="J297" s="510">
        <v>63</v>
      </c>
      <c r="K297" s="275">
        <v>1.3</v>
      </c>
      <c r="L297" s="275">
        <v>0.8</v>
      </c>
      <c r="M297" s="221">
        <v>1</v>
      </c>
    </row>
    <row r="298" spans="3:13" hidden="1" outlineLevel="1" x14ac:dyDescent="0.25">
      <c r="C298" s="221" t="s">
        <v>263</v>
      </c>
      <c r="D298" s="510">
        <v>30</v>
      </c>
      <c r="E298" s="512">
        <v>1.28</v>
      </c>
      <c r="F298" s="512">
        <v>1.1299999999999999</v>
      </c>
      <c r="G298" s="512">
        <v>0.9</v>
      </c>
      <c r="H298" s="512">
        <v>0.8</v>
      </c>
      <c r="I298" s="510">
        <v>42</v>
      </c>
      <c r="J298" s="510">
        <v>65</v>
      </c>
      <c r="K298" s="275">
        <v>1.3</v>
      </c>
      <c r="L298" s="275">
        <v>0.8</v>
      </c>
      <c r="M298" s="221">
        <v>2</v>
      </c>
    </row>
    <row r="299" spans="3:13" hidden="1" outlineLevel="1" x14ac:dyDescent="0.25">
      <c r="C299" s="221" t="s">
        <v>264</v>
      </c>
      <c r="D299" s="510">
        <v>35</v>
      </c>
      <c r="E299" s="512">
        <v>1.28</v>
      </c>
      <c r="F299" s="512">
        <v>1.05</v>
      </c>
      <c r="G299" s="512">
        <v>0.91</v>
      </c>
      <c r="H299" s="512">
        <v>0.81</v>
      </c>
      <c r="I299" s="510">
        <v>42</v>
      </c>
      <c r="J299" s="510">
        <v>67</v>
      </c>
      <c r="K299" s="275">
        <v>1.3</v>
      </c>
      <c r="L299" s="275">
        <v>0.8</v>
      </c>
      <c r="M299" s="221">
        <v>3</v>
      </c>
    </row>
    <row r="300" spans="3:13" hidden="1" outlineLevel="1" x14ac:dyDescent="0.25">
      <c r="C300" s="221" t="s">
        <v>262</v>
      </c>
      <c r="D300" s="510">
        <v>25</v>
      </c>
      <c r="E300" s="512">
        <v>1.5</v>
      </c>
      <c r="F300" s="512">
        <v>1.26</v>
      </c>
      <c r="G300" s="512">
        <v>0.85</v>
      </c>
      <c r="H300" s="512">
        <v>0.73</v>
      </c>
      <c r="I300" s="510">
        <v>65</v>
      </c>
      <c r="J300" s="510">
        <v>66</v>
      </c>
      <c r="K300" s="275">
        <v>1.3</v>
      </c>
      <c r="L300" s="275">
        <v>0.8</v>
      </c>
      <c r="M300" s="221">
        <v>5</v>
      </c>
    </row>
    <row r="301" spans="3:13" hidden="1" outlineLevel="1" x14ac:dyDescent="0.25">
      <c r="C301" s="221" t="s">
        <v>265</v>
      </c>
      <c r="D301" s="510">
        <v>35</v>
      </c>
      <c r="E301" s="512">
        <v>1.36</v>
      </c>
      <c r="F301" s="512">
        <v>1</v>
      </c>
      <c r="G301" s="512">
        <v>0.96</v>
      </c>
      <c r="H301" s="512">
        <v>0.87</v>
      </c>
      <c r="I301" s="510">
        <v>50</v>
      </c>
      <c r="J301" s="510">
        <v>71</v>
      </c>
      <c r="K301" s="275">
        <v>1.3</v>
      </c>
      <c r="L301" s="275">
        <v>0.8</v>
      </c>
      <c r="M301" s="221">
        <v>4</v>
      </c>
    </row>
    <row r="302" spans="3:13" hidden="1" outlineLevel="1" x14ac:dyDescent="0.25">
      <c r="C302" s="800" t="s">
        <v>1182</v>
      </c>
      <c r="D302" s="801">
        <v>55</v>
      </c>
      <c r="E302" s="802">
        <v>1.46</v>
      </c>
      <c r="F302" s="802">
        <v>1.1599999999999999</v>
      </c>
      <c r="G302" s="802">
        <v>0.73</v>
      </c>
      <c r="H302" s="802">
        <v>0.64</v>
      </c>
      <c r="I302" s="801">
        <v>72</v>
      </c>
      <c r="J302" s="801">
        <v>75</v>
      </c>
      <c r="K302" s="803">
        <v>1.1000000000000001</v>
      </c>
      <c r="L302" s="803">
        <v>1.7</v>
      </c>
      <c r="M302" s="800"/>
    </row>
    <row r="303" spans="3:13" hidden="1" outlineLevel="1" x14ac:dyDescent="0.25">
      <c r="C303" s="800" t="s">
        <v>1183</v>
      </c>
      <c r="D303" s="801">
        <v>55</v>
      </c>
      <c r="E303" s="802">
        <v>1.4</v>
      </c>
      <c r="F303" s="802">
        <v>1.03</v>
      </c>
      <c r="G303" s="802">
        <v>0.82</v>
      </c>
      <c r="H303" s="802">
        <v>0.75</v>
      </c>
      <c r="I303" s="801">
        <v>96</v>
      </c>
      <c r="J303" s="801">
        <v>88</v>
      </c>
      <c r="K303" s="803">
        <v>1.4</v>
      </c>
      <c r="L303" s="803">
        <v>1.8</v>
      </c>
      <c r="M303" s="800"/>
    </row>
    <row r="304" spans="3:13" hidden="1" outlineLevel="1" x14ac:dyDescent="0.25">
      <c r="C304" s="800" t="s">
        <v>1184</v>
      </c>
      <c r="D304" s="801">
        <v>55</v>
      </c>
      <c r="E304" s="802">
        <v>1.59</v>
      </c>
      <c r="F304" s="802">
        <v>1.32</v>
      </c>
      <c r="G304" s="802">
        <v>0.63</v>
      </c>
      <c r="H304" s="802">
        <v>0.53</v>
      </c>
      <c r="I304" s="802">
        <v>61</v>
      </c>
      <c r="J304" s="802">
        <v>66</v>
      </c>
      <c r="K304" s="803">
        <v>0.9</v>
      </c>
      <c r="L304" s="803">
        <v>1.3</v>
      </c>
      <c r="M304" s="800"/>
    </row>
    <row r="305" spans="3:13" hidden="1" outlineLevel="1" x14ac:dyDescent="0.25">
      <c r="C305" s="800" t="s">
        <v>269</v>
      </c>
      <c r="D305" s="801">
        <v>55</v>
      </c>
      <c r="E305" s="802">
        <v>1.33</v>
      </c>
      <c r="F305" s="802">
        <v>1</v>
      </c>
      <c r="G305" s="802">
        <v>0.84</v>
      </c>
      <c r="H305" s="802">
        <v>0.77</v>
      </c>
      <c r="I305" s="801">
        <v>135</v>
      </c>
      <c r="J305" s="801">
        <v>103</v>
      </c>
      <c r="K305" s="803">
        <v>1.4</v>
      </c>
      <c r="L305" s="803">
        <v>2.9</v>
      </c>
      <c r="M305" s="800"/>
    </row>
    <row r="306" spans="3:13" hidden="1" outlineLevel="1" x14ac:dyDescent="0.25">
      <c r="C306" s="800" t="s">
        <v>1167</v>
      </c>
      <c r="D306" s="801">
        <v>33</v>
      </c>
      <c r="E306" s="802">
        <v>1.68</v>
      </c>
      <c r="F306" s="802">
        <v>1.1299999999999999</v>
      </c>
      <c r="G306" s="802">
        <v>0.75</v>
      </c>
      <c r="H306" s="802">
        <v>0.66</v>
      </c>
      <c r="I306" s="801">
        <v>75</v>
      </c>
      <c r="J306" s="801">
        <v>66</v>
      </c>
      <c r="K306" s="803">
        <v>1.1000000000000001</v>
      </c>
      <c r="L306" s="803">
        <v>1.7</v>
      </c>
      <c r="M306" s="800"/>
    </row>
    <row r="307" spans="3:13" hidden="1" outlineLevel="1" x14ac:dyDescent="0.25">
      <c r="C307" s="800" t="s">
        <v>1185</v>
      </c>
      <c r="D307" s="801">
        <v>33</v>
      </c>
      <c r="E307" s="802">
        <v>1.54</v>
      </c>
      <c r="F307" s="802">
        <v>1.02</v>
      </c>
      <c r="G307" s="802">
        <v>0.85</v>
      </c>
      <c r="H307" s="802">
        <v>0.78</v>
      </c>
      <c r="I307" s="801">
        <v>96</v>
      </c>
      <c r="J307" s="801">
        <v>75</v>
      </c>
      <c r="K307" s="803">
        <v>1.4</v>
      </c>
      <c r="L307" s="803">
        <v>1.8</v>
      </c>
      <c r="M307" s="800"/>
    </row>
    <row r="308" spans="3:13" hidden="1" outlineLevel="1" x14ac:dyDescent="0.25">
      <c r="C308" s="800" t="s">
        <v>1169</v>
      </c>
      <c r="D308" s="801" t="s">
        <v>238</v>
      </c>
      <c r="E308" s="801" t="s">
        <v>238</v>
      </c>
      <c r="F308" s="801" t="s">
        <v>238</v>
      </c>
      <c r="G308" s="801" t="s">
        <v>238</v>
      </c>
      <c r="H308" s="801" t="s">
        <v>238</v>
      </c>
      <c r="I308" s="801" t="s">
        <v>238</v>
      </c>
      <c r="J308" s="801" t="s">
        <v>238</v>
      </c>
      <c r="K308" s="801" t="s">
        <v>238</v>
      </c>
      <c r="L308" s="801" t="s">
        <v>238</v>
      </c>
      <c r="M308" s="800"/>
    </row>
    <row r="309" spans="3:13" hidden="1" outlineLevel="1" x14ac:dyDescent="0.25">
      <c r="C309" s="800" t="s">
        <v>268</v>
      </c>
      <c r="D309" s="801">
        <v>33</v>
      </c>
      <c r="E309" s="802">
        <v>1.39</v>
      </c>
      <c r="F309" s="802">
        <v>1</v>
      </c>
      <c r="G309" s="802">
        <v>0.86</v>
      </c>
      <c r="H309" s="802">
        <v>0.79</v>
      </c>
      <c r="I309" s="801">
        <v>131</v>
      </c>
      <c r="J309" s="801">
        <v>86</v>
      </c>
      <c r="K309" s="803">
        <v>1.4</v>
      </c>
      <c r="L309" s="803">
        <v>2.9</v>
      </c>
      <c r="M309" s="800"/>
    </row>
    <row r="310" spans="3:13" hidden="1" outlineLevel="1" x14ac:dyDescent="0.25">
      <c r="C310" s="800" t="s">
        <v>1170</v>
      </c>
      <c r="D310" s="801">
        <v>21</v>
      </c>
      <c r="E310" s="802">
        <v>1.46</v>
      </c>
      <c r="F310" s="802">
        <v>1.29</v>
      </c>
      <c r="G310" s="802">
        <v>0.81</v>
      </c>
      <c r="H310" s="802">
        <v>0.73</v>
      </c>
      <c r="I310" s="801">
        <v>71</v>
      </c>
      <c r="J310" s="801">
        <v>59</v>
      </c>
      <c r="K310" s="803">
        <v>1.1000000000000001</v>
      </c>
      <c r="L310" s="803">
        <v>1.7</v>
      </c>
      <c r="M310" s="800"/>
    </row>
    <row r="311" spans="3:13" hidden="1" outlineLevel="1" x14ac:dyDescent="0.25">
      <c r="C311" s="800" t="s">
        <v>1186</v>
      </c>
      <c r="D311" s="801">
        <v>20</v>
      </c>
      <c r="E311" s="802">
        <v>1.41</v>
      </c>
      <c r="F311" s="802">
        <v>1.24</v>
      </c>
      <c r="G311" s="802">
        <v>0.92</v>
      </c>
      <c r="H311" s="802">
        <v>0.86</v>
      </c>
      <c r="I311" s="801">
        <v>88</v>
      </c>
      <c r="J311" s="801">
        <v>65</v>
      </c>
      <c r="K311" s="803">
        <v>1.4</v>
      </c>
      <c r="L311" s="803">
        <v>1.8</v>
      </c>
      <c r="M311" s="800"/>
    </row>
    <row r="312" spans="3:13" hidden="1" outlineLevel="1" x14ac:dyDescent="0.25">
      <c r="C312" s="800" t="s">
        <v>1172</v>
      </c>
      <c r="D312" s="801" t="s">
        <v>238</v>
      </c>
      <c r="E312" s="801" t="s">
        <v>238</v>
      </c>
      <c r="F312" s="801" t="s">
        <v>238</v>
      </c>
      <c r="G312" s="801" t="s">
        <v>238</v>
      </c>
      <c r="H312" s="801" t="s">
        <v>238</v>
      </c>
      <c r="I312" s="801" t="s">
        <v>238</v>
      </c>
      <c r="J312" s="801" t="s">
        <v>238</v>
      </c>
      <c r="K312" s="801" t="s">
        <v>238</v>
      </c>
      <c r="L312" s="801" t="s">
        <v>238</v>
      </c>
      <c r="M312" s="800"/>
    </row>
    <row r="313" spans="3:13" hidden="1" outlineLevel="1" x14ac:dyDescent="0.25">
      <c r="C313" s="800" t="s">
        <v>267</v>
      </c>
      <c r="D313" s="801">
        <v>21</v>
      </c>
      <c r="E313" s="802">
        <v>1.35</v>
      </c>
      <c r="F313" s="802">
        <v>1.17</v>
      </c>
      <c r="G313" s="802">
        <v>0.93</v>
      </c>
      <c r="H313" s="802">
        <v>0.87</v>
      </c>
      <c r="I313" s="801">
        <v>121</v>
      </c>
      <c r="J313" s="801">
        <v>74</v>
      </c>
      <c r="K313" s="803">
        <v>1.4</v>
      </c>
      <c r="L313" s="803">
        <v>2.9</v>
      </c>
      <c r="M313" s="800"/>
    </row>
    <row r="314" spans="3:13" hidden="1" outlineLevel="1" x14ac:dyDescent="0.25">
      <c r="C314" s="221" t="s">
        <v>317</v>
      </c>
      <c r="D314" s="510">
        <v>55</v>
      </c>
      <c r="E314" s="512">
        <v>1.48</v>
      </c>
      <c r="F314" s="512">
        <v>1.21</v>
      </c>
      <c r="G314" s="512">
        <v>0.72</v>
      </c>
      <c r="H314" s="512">
        <v>0.64</v>
      </c>
      <c r="I314" s="510">
        <v>52</v>
      </c>
      <c r="J314" s="510">
        <v>67</v>
      </c>
      <c r="K314" s="275">
        <v>1.4</v>
      </c>
      <c r="L314" s="275">
        <v>1.8</v>
      </c>
      <c r="M314" s="221">
        <v>63</v>
      </c>
    </row>
    <row r="315" spans="3:13" hidden="1" outlineLevel="1" x14ac:dyDescent="0.25">
      <c r="C315" s="221" t="s">
        <v>316</v>
      </c>
      <c r="D315" s="510">
        <v>55</v>
      </c>
      <c r="E315" s="512">
        <v>1.37</v>
      </c>
      <c r="F315" s="512">
        <v>1.1000000000000001</v>
      </c>
      <c r="G315" s="512">
        <v>0.81</v>
      </c>
      <c r="H315" s="512">
        <v>0.74</v>
      </c>
      <c r="I315" s="510">
        <v>67</v>
      </c>
      <c r="J315" s="510">
        <v>76</v>
      </c>
      <c r="K315" s="275">
        <v>1.6</v>
      </c>
      <c r="L315" s="275">
        <v>1.8</v>
      </c>
      <c r="M315" s="221">
        <v>62</v>
      </c>
    </row>
    <row r="316" spans="3:13" hidden="1" outlineLevel="1" x14ac:dyDescent="0.25">
      <c r="C316" s="221" t="s">
        <v>318</v>
      </c>
      <c r="D316" s="510" t="s">
        <v>238</v>
      </c>
      <c r="E316" s="512" t="s">
        <v>238</v>
      </c>
      <c r="F316" s="512" t="s">
        <v>238</v>
      </c>
      <c r="G316" s="512" t="s">
        <v>238</v>
      </c>
      <c r="H316" s="512" t="s">
        <v>238</v>
      </c>
      <c r="I316" s="512" t="s">
        <v>238</v>
      </c>
      <c r="J316" s="512" t="s">
        <v>238</v>
      </c>
      <c r="K316" s="512" t="s">
        <v>238</v>
      </c>
      <c r="L316" s="512" t="s">
        <v>238</v>
      </c>
      <c r="M316" s="221">
        <v>64</v>
      </c>
    </row>
    <row r="317" spans="3:13" hidden="1" outlineLevel="1" x14ac:dyDescent="0.25">
      <c r="C317" s="221" t="s">
        <v>319</v>
      </c>
      <c r="D317" s="510">
        <v>55</v>
      </c>
      <c r="E317" s="512">
        <v>1.42</v>
      </c>
      <c r="F317" s="512">
        <v>1.1499999999999999</v>
      </c>
      <c r="G317" s="512">
        <v>0.71</v>
      </c>
      <c r="H317" s="512">
        <v>0.63</v>
      </c>
      <c r="I317" s="510">
        <v>78</v>
      </c>
      <c r="J317" s="510">
        <v>75</v>
      </c>
      <c r="K317" s="275">
        <v>1.6</v>
      </c>
      <c r="L317" s="275">
        <v>1.8</v>
      </c>
      <c r="M317" s="221">
        <v>65</v>
      </c>
    </row>
    <row r="318" spans="3:13" hidden="1" outlineLevel="1" x14ac:dyDescent="0.25">
      <c r="C318" s="221" t="s">
        <v>313</v>
      </c>
      <c r="D318" s="510">
        <v>33</v>
      </c>
      <c r="E318" s="512">
        <v>1.62</v>
      </c>
      <c r="F318" s="512">
        <v>1.18</v>
      </c>
      <c r="G318" s="512">
        <v>0.74</v>
      </c>
      <c r="H318" s="512">
        <v>0.67</v>
      </c>
      <c r="I318" s="510">
        <v>57</v>
      </c>
      <c r="J318" s="510">
        <v>59</v>
      </c>
      <c r="K318" s="275">
        <v>1.4</v>
      </c>
      <c r="L318" s="275">
        <v>1.8</v>
      </c>
      <c r="M318" s="221">
        <v>59</v>
      </c>
    </row>
    <row r="319" spans="3:13" hidden="1" outlineLevel="1" x14ac:dyDescent="0.25">
      <c r="C319" s="221" t="s">
        <v>312</v>
      </c>
      <c r="D319" s="510">
        <v>33</v>
      </c>
      <c r="E319" s="512">
        <v>1.39</v>
      </c>
      <c r="F319" s="512">
        <v>1.08</v>
      </c>
      <c r="G319" s="512">
        <v>0.83</v>
      </c>
      <c r="H319" s="512">
        <v>0.77</v>
      </c>
      <c r="I319" s="510">
        <v>70</v>
      </c>
      <c r="J319" s="510">
        <v>65</v>
      </c>
      <c r="K319" s="275">
        <v>1.6</v>
      </c>
      <c r="L319" s="275">
        <v>1.8</v>
      </c>
      <c r="M319" s="221">
        <v>58</v>
      </c>
    </row>
    <row r="320" spans="3:13" hidden="1" outlineLevel="1" x14ac:dyDescent="0.25">
      <c r="C320" s="221" t="s">
        <v>314</v>
      </c>
      <c r="D320" s="510" t="s">
        <v>238</v>
      </c>
      <c r="E320" s="512" t="s">
        <v>238</v>
      </c>
      <c r="F320" s="512" t="s">
        <v>238</v>
      </c>
      <c r="G320" s="512" t="s">
        <v>238</v>
      </c>
      <c r="H320" s="512" t="s">
        <v>238</v>
      </c>
      <c r="I320" s="512" t="s">
        <v>238</v>
      </c>
      <c r="J320" s="512" t="s">
        <v>238</v>
      </c>
      <c r="K320" s="512" t="s">
        <v>238</v>
      </c>
      <c r="L320" s="512" t="s">
        <v>238</v>
      </c>
      <c r="M320" s="221">
        <v>60</v>
      </c>
    </row>
    <row r="321" spans="3:13" hidden="1" outlineLevel="1" x14ac:dyDescent="0.25">
      <c r="C321" s="221" t="s">
        <v>315</v>
      </c>
      <c r="D321" s="510">
        <v>33</v>
      </c>
      <c r="E321" s="512">
        <v>1.49</v>
      </c>
      <c r="F321" s="512">
        <v>1.1299999999999999</v>
      </c>
      <c r="G321" s="512">
        <v>0.72</v>
      </c>
      <c r="H321" s="512">
        <v>0.64</v>
      </c>
      <c r="I321" s="510">
        <v>80</v>
      </c>
      <c r="J321" s="510">
        <v>64</v>
      </c>
      <c r="K321" s="275">
        <v>1.6</v>
      </c>
      <c r="L321" s="275">
        <v>1.8</v>
      </c>
      <c r="M321" s="221">
        <v>61</v>
      </c>
    </row>
    <row r="322" spans="3:13" hidden="1" outlineLevel="1" x14ac:dyDescent="0.25">
      <c r="C322" s="221" t="s">
        <v>309</v>
      </c>
      <c r="D322" s="510">
        <v>21</v>
      </c>
      <c r="E322" s="512">
        <v>1.44</v>
      </c>
      <c r="F322" s="512">
        <v>1.35</v>
      </c>
      <c r="G322" s="512">
        <v>0.81</v>
      </c>
      <c r="H322" s="512">
        <v>0.73</v>
      </c>
      <c r="I322" s="510">
        <v>54</v>
      </c>
      <c r="J322" s="510">
        <v>51</v>
      </c>
      <c r="K322" s="275">
        <v>1.4</v>
      </c>
      <c r="L322" s="275">
        <v>1.8</v>
      </c>
      <c r="M322" s="221">
        <v>55</v>
      </c>
    </row>
    <row r="323" spans="3:13" hidden="1" outlineLevel="1" x14ac:dyDescent="0.25">
      <c r="C323" s="221" t="s">
        <v>308</v>
      </c>
      <c r="D323" s="510">
        <v>21</v>
      </c>
      <c r="E323" s="512">
        <v>1.36</v>
      </c>
      <c r="F323" s="512">
        <v>1.3</v>
      </c>
      <c r="G323" s="512">
        <v>0.9</v>
      </c>
      <c r="H323" s="512">
        <v>0.84</v>
      </c>
      <c r="I323" s="510">
        <v>65</v>
      </c>
      <c r="J323" s="510">
        <v>55</v>
      </c>
      <c r="K323" s="275">
        <v>1.6</v>
      </c>
      <c r="L323" s="275">
        <v>1.8</v>
      </c>
      <c r="M323" s="221">
        <v>54</v>
      </c>
    </row>
    <row r="324" spans="3:13" hidden="1" outlineLevel="1" x14ac:dyDescent="0.25">
      <c r="C324" s="221" t="s">
        <v>310</v>
      </c>
      <c r="D324" s="510" t="s">
        <v>238</v>
      </c>
      <c r="E324" s="512" t="s">
        <v>238</v>
      </c>
      <c r="F324" s="512" t="s">
        <v>238</v>
      </c>
      <c r="G324" s="512" t="s">
        <v>238</v>
      </c>
      <c r="H324" s="512" t="s">
        <v>238</v>
      </c>
      <c r="I324" s="512" t="s">
        <v>238</v>
      </c>
      <c r="J324" s="512" t="s">
        <v>238</v>
      </c>
      <c r="K324" s="512" t="s">
        <v>238</v>
      </c>
      <c r="L324" s="512" t="s">
        <v>238</v>
      </c>
      <c r="M324" s="221">
        <v>56</v>
      </c>
    </row>
    <row r="325" spans="3:13" hidden="1" outlineLevel="1" x14ac:dyDescent="0.25">
      <c r="C325" s="221" t="s">
        <v>311</v>
      </c>
      <c r="D325" s="510">
        <v>21</v>
      </c>
      <c r="E325" s="512">
        <v>1.39</v>
      </c>
      <c r="F325" s="512">
        <v>1.31</v>
      </c>
      <c r="G325" s="512">
        <v>0.79</v>
      </c>
      <c r="H325" s="512">
        <v>0.71</v>
      </c>
      <c r="I325" s="510">
        <v>74</v>
      </c>
      <c r="J325" s="510">
        <v>53</v>
      </c>
      <c r="K325" s="275">
        <v>1.6</v>
      </c>
      <c r="L325" s="275">
        <v>1.8</v>
      </c>
      <c r="M325" s="221">
        <v>57</v>
      </c>
    </row>
    <row r="326" spans="3:13" hidden="1" outlineLevel="1" x14ac:dyDescent="0.25">
      <c r="C326" s="221" t="s">
        <v>305</v>
      </c>
      <c r="D326" s="510">
        <v>55</v>
      </c>
      <c r="E326" s="512">
        <v>1.33</v>
      </c>
      <c r="F326" s="512">
        <v>1.19</v>
      </c>
      <c r="G326" s="512">
        <v>0.76</v>
      </c>
      <c r="H326" s="512">
        <v>0.69</v>
      </c>
      <c r="I326" s="510">
        <v>86</v>
      </c>
      <c r="J326" s="510">
        <v>77</v>
      </c>
      <c r="K326" s="275">
        <v>1.7</v>
      </c>
      <c r="L326" s="275">
        <v>2.8</v>
      </c>
      <c r="M326" s="221">
        <v>51</v>
      </c>
    </row>
    <row r="327" spans="3:13" hidden="1" outlineLevel="1" x14ac:dyDescent="0.25">
      <c r="C327" s="221" t="s">
        <v>304</v>
      </c>
      <c r="D327" s="510">
        <v>55</v>
      </c>
      <c r="E327" s="512">
        <v>1.26</v>
      </c>
      <c r="F327" s="512">
        <v>1.08</v>
      </c>
      <c r="G327" s="512">
        <v>0.83</v>
      </c>
      <c r="H327" s="512">
        <v>0.76</v>
      </c>
      <c r="I327" s="510">
        <v>103</v>
      </c>
      <c r="J327" s="510">
        <v>84</v>
      </c>
      <c r="K327" s="275">
        <v>1.7</v>
      </c>
      <c r="L327" s="275">
        <v>2.8</v>
      </c>
      <c r="M327" s="221">
        <v>50</v>
      </c>
    </row>
    <row r="328" spans="3:13" hidden="1" outlineLevel="1" x14ac:dyDescent="0.25">
      <c r="C328" s="221" t="s">
        <v>306</v>
      </c>
      <c r="D328" s="510" t="s">
        <v>238</v>
      </c>
      <c r="E328" s="512" t="s">
        <v>238</v>
      </c>
      <c r="F328" s="512" t="s">
        <v>238</v>
      </c>
      <c r="G328" s="512" t="s">
        <v>238</v>
      </c>
      <c r="H328" s="512" t="s">
        <v>238</v>
      </c>
      <c r="I328" s="512" t="s">
        <v>238</v>
      </c>
      <c r="J328" s="512" t="s">
        <v>238</v>
      </c>
      <c r="K328" s="512" t="s">
        <v>238</v>
      </c>
      <c r="L328" s="512" t="s">
        <v>238</v>
      </c>
      <c r="M328" s="221">
        <v>52</v>
      </c>
    </row>
    <row r="329" spans="3:13" hidden="1" outlineLevel="1" x14ac:dyDescent="0.25">
      <c r="C329" s="221" t="s">
        <v>307</v>
      </c>
      <c r="D329" s="510">
        <v>55</v>
      </c>
      <c r="E329" s="512">
        <v>1.24</v>
      </c>
      <c r="F329" s="512">
        <v>1.0900000000000001</v>
      </c>
      <c r="G329" s="512">
        <v>0.74</v>
      </c>
      <c r="H329" s="512">
        <v>0.66</v>
      </c>
      <c r="I329" s="510">
        <v>95</v>
      </c>
      <c r="J329" s="510">
        <v>78</v>
      </c>
      <c r="K329" s="275">
        <v>1.7</v>
      </c>
      <c r="L329" s="275">
        <v>2.8</v>
      </c>
      <c r="M329" s="221">
        <v>53</v>
      </c>
    </row>
    <row r="330" spans="3:13" hidden="1" outlineLevel="1" x14ac:dyDescent="0.25">
      <c r="C330" s="221" t="s">
        <v>301</v>
      </c>
      <c r="D330" s="510">
        <v>33</v>
      </c>
      <c r="E330" s="512">
        <v>1.45</v>
      </c>
      <c r="F330" s="512">
        <v>1.17</v>
      </c>
      <c r="G330" s="512">
        <v>0.77</v>
      </c>
      <c r="H330" s="512">
        <v>0.7</v>
      </c>
      <c r="I330" s="510">
        <v>87</v>
      </c>
      <c r="J330" s="510">
        <v>72</v>
      </c>
      <c r="K330" s="275">
        <v>1.7</v>
      </c>
      <c r="L330" s="275">
        <v>2.8</v>
      </c>
      <c r="M330" s="221">
        <v>47</v>
      </c>
    </row>
    <row r="331" spans="3:13" hidden="1" outlineLevel="1" x14ac:dyDescent="0.25">
      <c r="C331" s="221" t="s">
        <v>300</v>
      </c>
      <c r="D331" s="510">
        <v>33</v>
      </c>
      <c r="E331" s="512">
        <v>1.3</v>
      </c>
      <c r="F331" s="512">
        <v>1.08</v>
      </c>
      <c r="G331" s="512">
        <v>0.84</v>
      </c>
      <c r="H331" s="512">
        <v>0.78</v>
      </c>
      <c r="I331" s="510">
        <v>103</v>
      </c>
      <c r="J331" s="510">
        <v>78</v>
      </c>
      <c r="K331" s="275">
        <v>1.7</v>
      </c>
      <c r="L331" s="275">
        <v>2.8</v>
      </c>
      <c r="M331" s="221">
        <v>46</v>
      </c>
    </row>
    <row r="332" spans="3:13" hidden="1" outlineLevel="1" x14ac:dyDescent="0.25">
      <c r="C332" s="221" t="s">
        <v>302</v>
      </c>
      <c r="D332" s="510" t="s">
        <v>238</v>
      </c>
      <c r="E332" s="512" t="s">
        <v>238</v>
      </c>
      <c r="F332" s="512" t="s">
        <v>238</v>
      </c>
      <c r="G332" s="512" t="s">
        <v>238</v>
      </c>
      <c r="H332" s="512" t="s">
        <v>238</v>
      </c>
      <c r="I332" s="512" t="s">
        <v>238</v>
      </c>
      <c r="J332" s="512" t="s">
        <v>238</v>
      </c>
      <c r="K332" s="512" t="s">
        <v>238</v>
      </c>
      <c r="L332" s="512" t="s">
        <v>238</v>
      </c>
      <c r="M332" s="221">
        <v>48</v>
      </c>
    </row>
    <row r="333" spans="3:13" hidden="1" outlineLevel="1" x14ac:dyDescent="0.25">
      <c r="C333" s="221" t="s">
        <v>303</v>
      </c>
      <c r="D333" s="510">
        <v>33</v>
      </c>
      <c r="E333" s="512">
        <v>1.46</v>
      </c>
      <c r="F333" s="512">
        <v>1.1399999999999999</v>
      </c>
      <c r="G333" s="512">
        <v>0.76</v>
      </c>
      <c r="H333" s="512">
        <v>0.69</v>
      </c>
      <c r="I333" s="510">
        <v>80</v>
      </c>
      <c r="J333" s="510">
        <v>72</v>
      </c>
      <c r="K333" s="275">
        <v>1.7</v>
      </c>
      <c r="L333" s="275">
        <v>2.8</v>
      </c>
      <c r="M333" s="221">
        <v>49</v>
      </c>
    </row>
    <row r="334" spans="3:13" hidden="1" outlineLevel="1" x14ac:dyDescent="0.25">
      <c r="C334" s="221" t="s">
        <v>297</v>
      </c>
      <c r="D334" s="510">
        <v>21</v>
      </c>
      <c r="E334" s="512">
        <v>1.29</v>
      </c>
      <c r="F334" s="512">
        <v>1.33</v>
      </c>
      <c r="G334" s="512">
        <v>0.86</v>
      </c>
      <c r="H334" s="512">
        <v>0.79</v>
      </c>
      <c r="I334" s="510">
        <v>82</v>
      </c>
      <c r="J334" s="510">
        <v>56</v>
      </c>
      <c r="K334" s="275">
        <v>1</v>
      </c>
      <c r="L334" s="275">
        <v>2.8</v>
      </c>
      <c r="M334" s="221">
        <v>43</v>
      </c>
    </row>
    <row r="335" spans="3:13" hidden="1" outlineLevel="1" x14ac:dyDescent="0.25">
      <c r="C335" s="221" t="s">
        <v>296</v>
      </c>
      <c r="D335" s="510">
        <v>21</v>
      </c>
      <c r="E335" s="512">
        <v>1.24</v>
      </c>
      <c r="F335" s="512">
        <v>1.28</v>
      </c>
      <c r="G335" s="512">
        <v>0.93</v>
      </c>
      <c r="H335" s="512">
        <v>0.88</v>
      </c>
      <c r="I335" s="510">
        <v>93</v>
      </c>
      <c r="J335" s="510">
        <v>60</v>
      </c>
      <c r="K335" s="275">
        <v>1.7</v>
      </c>
      <c r="L335" s="275">
        <v>2.8</v>
      </c>
      <c r="M335" s="221">
        <v>42</v>
      </c>
    </row>
    <row r="336" spans="3:13" hidden="1" outlineLevel="1" x14ac:dyDescent="0.25">
      <c r="C336" s="221" t="s">
        <v>298</v>
      </c>
      <c r="D336" s="510" t="s">
        <v>238</v>
      </c>
      <c r="E336" s="512" t="s">
        <v>238</v>
      </c>
      <c r="F336" s="512" t="s">
        <v>238</v>
      </c>
      <c r="G336" s="512" t="s">
        <v>238</v>
      </c>
      <c r="H336" s="512" t="s">
        <v>238</v>
      </c>
      <c r="I336" s="512" t="s">
        <v>238</v>
      </c>
      <c r="J336" s="512" t="s">
        <v>238</v>
      </c>
      <c r="K336" s="512" t="s">
        <v>238</v>
      </c>
      <c r="L336" s="512" t="s">
        <v>238</v>
      </c>
      <c r="M336" s="221">
        <v>44</v>
      </c>
    </row>
    <row r="337" spans="3:13" hidden="1" outlineLevel="1" x14ac:dyDescent="0.25">
      <c r="C337" s="221" t="s">
        <v>299</v>
      </c>
      <c r="D337" s="510">
        <v>21</v>
      </c>
      <c r="E337" s="512">
        <v>1.21</v>
      </c>
      <c r="F337" s="512">
        <v>1.1599999999999999</v>
      </c>
      <c r="G337" s="512">
        <v>0.82</v>
      </c>
      <c r="H337" s="512">
        <v>0.74</v>
      </c>
      <c r="I337" s="510">
        <v>91</v>
      </c>
      <c r="J337" s="510">
        <v>86</v>
      </c>
      <c r="K337" s="275">
        <v>1.7</v>
      </c>
      <c r="L337" s="275">
        <v>2.8</v>
      </c>
      <c r="M337" s="221">
        <v>45</v>
      </c>
    </row>
    <row r="338" spans="3:13" hidden="1" outlineLevel="1" x14ac:dyDescent="0.25">
      <c r="C338" s="221" t="s">
        <v>258</v>
      </c>
      <c r="D338" s="202">
        <v>85</v>
      </c>
      <c r="E338" s="512">
        <v>1.28</v>
      </c>
      <c r="F338" s="512">
        <v>1.1599999999999999</v>
      </c>
      <c r="G338" s="512">
        <v>0.6</v>
      </c>
      <c r="H338" s="512">
        <v>0.5</v>
      </c>
      <c r="I338" s="202">
        <v>119</v>
      </c>
      <c r="J338" s="202">
        <v>86</v>
      </c>
      <c r="K338" s="204">
        <v>1.3</v>
      </c>
      <c r="L338" s="204">
        <v>4.3</v>
      </c>
      <c r="M338" s="221">
        <v>149</v>
      </c>
    </row>
    <row r="339" spans="3:13" hidden="1" outlineLevel="1" x14ac:dyDescent="0.25">
      <c r="C339" s="221" t="s">
        <v>257</v>
      </c>
      <c r="D339" s="202">
        <v>85</v>
      </c>
      <c r="E339" s="512">
        <v>1.18</v>
      </c>
      <c r="F339" s="512">
        <v>1.06</v>
      </c>
      <c r="G339" s="512">
        <v>0.68</v>
      </c>
      <c r="H339" s="512">
        <v>0.57999999999999996</v>
      </c>
      <c r="I339" s="202">
        <v>122</v>
      </c>
      <c r="J339" s="202">
        <v>92</v>
      </c>
      <c r="K339" s="204">
        <v>1.3</v>
      </c>
      <c r="L339" s="204">
        <v>4.3</v>
      </c>
      <c r="M339" s="221">
        <v>145</v>
      </c>
    </row>
    <row r="340" spans="3:13" hidden="1" outlineLevel="1" x14ac:dyDescent="0.25">
      <c r="C340" s="221" t="s">
        <v>358</v>
      </c>
      <c r="D340" s="202">
        <v>85</v>
      </c>
      <c r="E340" s="512">
        <v>1.52</v>
      </c>
      <c r="F340" s="512">
        <v>1.2</v>
      </c>
      <c r="G340" s="512">
        <v>0.64</v>
      </c>
      <c r="H340" s="512">
        <v>0.55000000000000004</v>
      </c>
      <c r="I340" s="202">
        <v>65</v>
      </c>
      <c r="J340" s="202">
        <v>74</v>
      </c>
      <c r="K340" s="204">
        <v>1.6</v>
      </c>
      <c r="L340" s="204">
        <v>1.1000000000000001</v>
      </c>
      <c r="M340" s="221">
        <v>99</v>
      </c>
    </row>
    <row r="341" spans="3:13" hidden="1" outlineLevel="1" x14ac:dyDescent="0.25">
      <c r="C341" s="221" t="s">
        <v>357</v>
      </c>
      <c r="D341" s="202">
        <v>85</v>
      </c>
      <c r="E341" s="512" t="s">
        <v>238</v>
      </c>
      <c r="F341" s="512" t="s">
        <v>238</v>
      </c>
      <c r="G341" s="512" t="s">
        <v>238</v>
      </c>
      <c r="H341" s="512" t="s">
        <v>238</v>
      </c>
      <c r="I341" s="512" t="s">
        <v>238</v>
      </c>
      <c r="J341" s="512" t="s">
        <v>238</v>
      </c>
      <c r="K341" s="512" t="s">
        <v>238</v>
      </c>
      <c r="L341" s="512" t="s">
        <v>238</v>
      </c>
      <c r="M341" s="221">
        <v>98</v>
      </c>
    </row>
    <row r="342" spans="3:13" hidden="1" outlineLevel="1" x14ac:dyDescent="0.25">
      <c r="C342" s="221" t="s">
        <v>359</v>
      </c>
      <c r="D342" s="202">
        <v>85</v>
      </c>
      <c r="E342" s="512">
        <v>1.82</v>
      </c>
      <c r="F342" s="512">
        <v>1.36</v>
      </c>
      <c r="G342" s="512">
        <v>0.55000000000000004</v>
      </c>
      <c r="H342" s="512">
        <v>0.45</v>
      </c>
      <c r="I342" s="202">
        <v>56</v>
      </c>
      <c r="J342" s="202">
        <v>65</v>
      </c>
      <c r="K342" s="204">
        <v>1.4</v>
      </c>
      <c r="L342" s="204">
        <v>1.1000000000000001</v>
      </c>
      <c r="M342" s="221">
        <v>100</v>
      </c>
    </row>
    <row r="343" spans="3:13" hidden="1" outlineLevel="1" x14ac:dyDescent="0.25">
      <c r="C343" s="221" t="s">
        <v>360</v>
      </c>
      <c r="D343" s="202">
        <v>85</v>
      </c>
      <c r="E343" s="512">
        <v>1.45</v>
      </c>
      <c r="F343" s="512">
        <v>1.1499999999999999</v>
      </c>
      <c r="G343" s="512">
        <v>0.67</v>
      </c>
      <c r="H343" s="512">
        <v>0.57999999999999996</v>
      </c>
      <c r="I343" s="202">
        <v>80</v>
      </c>
      <c r="J343" s="202">
        <v>82</v>
      </c>
      <c r="K343" s="204">
        <v>1.9</v>
      </c>
      <c r="L343" s="204">
        <v>1.4</v>
      </c>
      <c r="M343" s="221">
        <v>101</v>
      </c>
    </row>
    <row r="344" spans="3:13" hidden="1" outlineLevel="1" x14ac:dyDescent="0.25">
      <c r="C344" s="221" t="s">
        <v>354</v>
      </c>
      <c r="D344" s="202">
        <v>85</v>
      </c>
      <c r="E344" s="512">
        <v>1.4</v>
      </c>
      <c r="F344" s="512">
        <v>1.1100000000000001</v>
      </c>
      <c r="G344" s="512">
        <v>0.66</v>
      </c>
      <c r="H344" s="512">
        <v>0.57999999999999996</v>
      </c>
      <c r="I344" s="202">
        <v>69</v>
      </c>
      <c r="J344" s="202">
        <v>76</v>
      </c>
      <c r="K344" s="204">
        <v>1.6</v>
      </c>
      <c r="L344" s="204">
        <v>1.1000000000000001</v>
      </c>
      <c r="M344" s="221">
        <v>95</v>
      </c>
    </row>
    <row r="345" spans="3:13" hidden="1" outlineLevel="1" x14ac:dyDescent="0.25">
      <c r="C345" s="221" t="s">
        <v>353</v>
      </c>
      <c r="D345" s="202">
        <v>85</v>
      </c>
      <c r="E345" s="512" t="s">
        <v>238</v>
      </c>
      <c r="F345" s="512" t="s">
        <v>238</v>
      </c>
      <c r="G345" s="512" t="s">
        <v>238</v>
      </c>
      <c r="H345" s="512" t="s">
        <v>238</v>
      </c>
      <c r="I345" s="512" t="s">
        <v>238</v>
      </c>
      <c r="J345" s="512" t="s">
        <v>238</v>
      </c>
      <c r="K345" s="512" t="s">
        <v>238</v>
      </c>
      <c r="L345" s="512" t="s">
        <v>238</v>
      </c>
      <c r="M345" s="221">
        <v>94</v>
      </c>
    </row>
    <row r="346" spans="3:13" hidden="1" outlineLevel="1" x14ac:dyDescent="0.25">
      <c r="C346" s="221" t="s">
        <v>355</v>
      </c>
      <c r="D346" s="202">
        <v>85</v>
      </c>
      <c r="E346" s="512">
        <v>1.64</v>
      </c>
      <c r="F346" s="512">
        <v>1.27</v>
      </c>
      <c r="G346" s="512">
        <v>0.56999999999999995</v>
      </c>
      <c r="H346" s="512">
        <v>0.47</v>
      </c>
      <c r="I346" s="202">
        <v>59</v>
      </c>
      <c r="J346" s="202">
        <v>68</v>
      </c>
      <c r="K346" s="204">
        <v>1.4</v>
      </c>
      <c r="L346" s="204">
        <v>1.1000000000000001</v>
      </c>
      <c r="M346" s="221">
        <v>96</v>
      </c>
    </row>
    <row r="347" spans="3:13" hidden="1" outlineLevel="1" x14ac:dyDescent="0.25">
      <c r="C347" s="221" t="s">
        <v>356</v>
      </c>
      <c r="D347" s="202">
        <v>85</v>
      </c>
      <c r="E347" s="512">
        <v>1.33</v>
      </c>
      <c r="F347" s="512">
        <v>1.06</v>
      </c>
      <c r="G347" s="512">
        <v>0.69</v>
      </c>
      <c r="H347" s="512">
        <v>0.61</v>
      </c>
      <c r="I347" s="202">
        <v>84</v>
      </c>
      <c r="J347" s="202">
        <v>85</v>
      </c>
      <c r="K347" s="204">
        <v>1.9</v>
      </c>
      <c r="L347" s="204">
        <v>1.4</v>
      </c>
      <c r="M347" s="221">
        <v>97</v>
      </c>
    </row>
    <row r="348" spans="3:13" hidden="1" outlineLevel="1" x14ac:dyDescent="0.25">
      <c r="C348" s="221" t="s">
        <v>350</v>
      </c>
      <c r="D348" s="202">
        <v>85</v>
      </c>
      <c r="E348" s="512">
        <v>1.3</v>
      </c>
      <c r="F348" s="512">
        <v>1.1100000000000001</v>
      </c>
      <c r="G348" s="512">
        <v>0.67</v>
      </c>
      <c r="H348" s="512">
        <v>0.57999999999999996</v>
      </c>
      <c r="I348" s="202">
        <v>69</v>
      </c>
      <c r="J348" s="202">
        <v>77</v>
      </c>
      <c r="K348" s="204">
        <v>1.6</v>
      </c>
      <c r="L348" s="204">
        <v>1.1000000000000001</v>
      </c>
      <c r="M348" s="221">
        <v>91</v>
      </c>
    </row>
    <row r="349" spans="3:13" hidden="1" outlineLevel="1" x14ac:dyDescent="0.25">
      <c r="C349" s="221" t="s">
        <v>349</v>
      </c>
      <c r="D349" s="202">
        <v>85</v>
      </c>
      <c r="E349" s="512">
        <v>1.22</v>
      </c>
      <c r="F349" s="512">
        <v>1.04</v>
      </c>
      <c r="G349" s="512">
        <v>0.73</v>
      </c>
      <c r="H349" s="512">
        <v>0.65</v>
      </c>
      <c r="I349" s="202">
        <v>89</v>
      </c>
      <c r="J349" s="202">
        <v>87</v>
      </c>
      <c r="K349" s="204">
        <v>1.7</v>
      </c>
      <c r="L349" s="204">
        <v>1.1000000000000001</v>
      </c>
      <c r="M349" s="221">
        <v>90</v>
      </c>
    </row>
    <row r="350" spans="3:13" hidden="1" outlineLevel="1" x14ac:dyDescent="0.25">
      <c r="C350" s="221" t="s">
        <v>351</v>
      </c>
      <c r="D350" s="202" t="s">
        <v>238</v>
      </c>
      <c r="E350" s="203" t="s">
        <v>238</v>
      </c>
      <c r="F350" s="203" t="s">
        <v>238</v>
      </c>
      <c r="G350" s="203" t="s">
        <v>238</v>
      </c>
      <c r="H350" s="203" t="s">
        <v>238</v>
      </c>
      <c r="I350" s="202" t="s">
        <v>238</v>
      </c>
      <c r="J350" s="202" t="s">
        <v>238</v>
      </c>
      <c r="K350" s="204" t="s">
        <v>238</v>
      </c>
      <c r="L350" s="204" t="s">
        <v>238</v>
      </c>
      <c r="M350" s="221">
        <v>92</v>
      </c>
    </row>
    <row r="351" spans="3:13" hidden="1" outlineLevel="1" x14ac:dyDescent="0.25">
      <c r="C351" s="221" t="s">
        <v>352</v>
      </c>
      <c r="D351" s="202" t="s">
        <v>238</v>
      </c>
      <c r="E351" s="203" t="s">
        <v>238</v>
      </c>
      <c r="F351" s="203" t="s">
        <v>238</v>
      </c>
      <c r="G351" s="203" t="s">
        <v>238</v>
      </c>
      <c r="H351" s="203" t="s">
        <v>238</v>
      </c>
      <c r="I351" s="202" t="s">
        <v>238</v>
      </c>
      <c r="J351" s="202" t="s">
        <v>238</v>
      </c>
      <c r="K351" s="204" t="s">
        <v>238</v>
      </c>
      <c r="L351" s="204" t="s">
        <v>238</v>
      </c>
      <c r="M351" s="221">
        <v>93</v>
      </c>
    </row>
    <row r="352" spans="3:13" hidden="1" outlineLevel="1" x14ac:dyDescent="0.25">
      <c r="C352" s="221" t="s">
        <v>422</v>
      </c>
      <c r="D352" s="202">
        <v>85</v>
      </c>
      <c r="E352" s="512">
        <v>1.34</v>
      </c>
      <c r="F352" s="512">
        <v>1.1499999999999999</v>
      </c>
      <c r="G352" s="512">
        <v>0.55000000000000004</v>
      </c>
      <c r="H352" s="512">
        <v>0.44</v>
      </c>
      <c r="I352" s="202">
        <v>103</v>
      </c>
      <c r="J352" s="202">
        <v>81</v>
      </c>
      <c r="K352" s="204">
        <v>1.3</v>
      </c>
      <c r="L352" s="204">
        <v>3.8</v>
      </c>
      <c r="M352" s="221">
        <v>147</v>
      </c>
    </row>
    <row r="353" spans="3:13" hidden="1" outlineLevel="1" x14ac:dyDescent="0.25">
      <c r="C353" s="221" t="s">
        <v>421</v>
      </c>
      <c r="D353" s="202">
        <v>85</v>
      </c>
      <c r="E353" s="512">
        <v>1.3</v>
      </c>
      <c r="F353" s="512">
        <v>1.1399999999999999</v>
      </c>
      <c r="G353" s="512">
        <v>0.6</v>
      </c>
      <c r="H353" s="512">
        <v>0.49</v>
      </c>
      <c r="I353" s="202">
        <v>111</v>
      </c>
      <c r="J353" s="202">
        <v>86</v>
      </c>
      <c r="K353" s="204">
        <v>1.4</v>
      </c>
      <c r="L353" s="204">
        <v>3.8</v>
      </c>
      <c r="M353" s="221">
        <v>146</v>
      </c>
    </row>
    <row r="354" spans="3:13" hidden="1" outlineLevel="1" x14ac:dyDescent="0.25">
      <c r="C354" s="221" t="s">
        <v>424</v>
      </c>
      <c r="D354" s="202" t="s">
        <v>238</v>
      </c>
      <c r="E354" s="202" t="s">
        <v>238</v>
      </c>
      <c r="F354" s="202" t="s">
        <v>238</v>
      </c>
      <c r="G354" s="202" t="s">
        <v>238</v>
      </c>
      <c r="H354" s="202" t="s">
        <v>238</v>
      </c>
      <c r="I354" s="202" t="s">
        <v>238</v>
      </c>
      <c r="J354" s="202" t="s">
        <v>238</v>
      </c>
      <c r="K354" s="202" t="s">
        <v>238</v>
      </c>
      <c r="L354" s="202" t="s">
        <v>238</v>
      </c>
      <c r="M354" s="221">
        <v>149</v>
      </c>
    </row>
    <row r="355" spans="3:13" hidden="1" outlineLevel="1" x14ac:dyDescent="0.25">
      <c r="C355" s="221" t="s">
        <v>423</v>
      </c>
      <c r="D355" s="202">
        <v>85</v>
      </c>
      <c r="E355" s="512">
        <v>1.27</v>
      </c>
      <c r="F355" s="512">
        <v>1.1399999999999999</v>
      </c>
      <c r="G355" s="512">
        <v>0.59</v>
      </c>
      <c r="H355" s="512">
        <v>0.49</v>
      </c>
      <c r="I355" s="202">
        <v>111</v>
      </c>
      <c r="J355" s="202">
        <v>74</v>
      </c>
      <c r="K355" s="204">
        <v>1.3</v>
      </c>
      <c r="L355" s="204">
        <v>3.3</v>
      </c>
      <c r="M355" s="221">
        <v>148</v>
      </c>
    </row>
    <row r="356" spans="3:13" hidden="1" outlineLevel="1" x14ac:dyDescent="0.25">
      <c r="C356" s="221" t="s">
        <v>402</v>
      </c>
      <c r="D356" s="202">
        <v>85</v>
      </c>
      <c r="E356" s="512">
        <v>1.23</v>
      </c>
      <c r="F356" s="512">
        <v>1.05</v>
      </c>
      <c r="G356" s="512">
        <v>0.62</v>
      </c>
      <c r="H356" s="512">
        <v>0.52</v>
      </c>
      <c r="I356" s="202">
        <v>107</v>
      </c>
      <c r="J356" s="202">
        <v>87</v>
      </c>
      <c r="K356" s="204">
        <v>1.3</v>
      </c>
      <c r="L356" s="204">
        <v>3.8</v>
      </c>
      <c r="M356" s="221">
        <v>143</v>
      </c>
    </row>
    <row r="357" spans="3:13" hidden="1" outlineLevel="1" x14ac:dyDescent="0.25">
      <c r="C357" s="221" t="s">
        <v>401</v>
      </c>
      <c r="D357" s="202">
        <v>85</v>
      </c>
      <c r="E357" s="512">
        <v>1.2</v>
      </c>
      <c r="F357" s="512">
        <v>1.04</v>
      </c>
      <c r="G357" s="512">
        <v>0.67</v>
      </c>
      <c r="H357" s="512">
        <v>0.57999999999999996</v>
      </c>
      <c r="I357" s="202">
        <v>114</v>
      </c>
      <c r="J357" s="202">
        <v>91</v>
      </c>
      <c r="K357" s="204">
        <v>1.4</v>
      </c>
      <c r="L357" s="204">
        <v>3.8</v>
      </c>
      <c r="M357" s="221">
        <v>142</v>
      </c>
    </row>
    <row r="358" spans="3:13" hidden="1" outlineLevel="1" x14ac:dyDescent="0.25">
      <c r="C358" s="221" t="s">
        <v>403</v>
      </c>
      <c r="D358" s="202" t="s">
        <v>238</v>
      </c>
      <c r="E358" s="202" t="s">
        <v>238</v>
      </c>
      <c r="F358" s="202" t="s">
        <v>238</v>
      </c>
      <c r="G358" s="202" t="s">
        <v>238</v>
      </c>
      <c r="H358" s="202" t="s">
        <v>238</v>
      </c>
      <c r="I358" s="202" t="s">
        <v>238</v>
      </c>
      <c r="J358" s="202" t="s">
        <v>238</v>
      </c>
      <c r="K358" s="202" t="s">
        <v>238</v>
      </c>
      <c r="L358" s="202" t="s">
        <v>238</v>
      </c>
      <c r="M358" s="221">
        <v>145</v>
      </c>
    </row>
    <row r="359" spans="3:13" hidden="1" outlineLevel="1" x14ac:dyDescent="0.25">
      <c r="C359" s="221" t="s">
        <v>420</v>
      </c>
      <c r="D359" s="202">
        <v>85</v>
      </c>
      <c r="E359" s="512">
        <v>1.17</v>
      </c>
      <c r="F359" s="512">
        <v>1.04</v>
      </c>
      <c r="G359" s="512">
        <v>0.67</v>
      </c>
      <c r="H359" s="512">
        <v>0.56999999999999995</v>
      </c>
      <c r="I359" s="202">
        <v>115</v>
      </c>
      <c r="J359" s="202">
        <v>90</v>
      </c>
      <c r="K359" s="204">
        <v>1.3</v>
      </c>
      <c r="L359" s="204">
        <v>3.3</v>
      </c>
      <c r="M359" s="221">
        <v>144</v>
      </c>
    </row>
    <row r="360" spans="3:13" hidden="1" outlineLevel="1" x14ac:dyDescent="0.25">
      <c r="C360" s="221" t="s">
        <v>398</v>
      </c>
      <c r="D360" s="202">
        <v>85</v>
      </c>
      <c r="E360" s="512">
        <v>1.1399999999999999</v>
      </c>
      <c r="F360" s="512">
        <v>0.95</v>
      </c>
      <c r="G360" s="512">
        <v>0.66</v>
      </c>
      <c r="H360" s="512">
        <v>0.56000000000000005</v>
      </c>
      <c r="I360" s="202">
        <v>113</v>
      </c>
      <c r="J360" s="202">
        <v>91</v>
      </c>
      <c r="K360" s="204">
        <v>1.4</v>
      </c>
      <c r="L360" s="204">
        <v>3.8</v>
      </c>
      <c r="M360" s="221">
        <v>139</v>
      </c>
    </row>
    <row r="361" spans="3:13" hidden="1" outlineLevel="1" x14ac:dyDescent="0.25">
      <c r="C361" s="221" t="s">
        <v>397</v>
      </c>
      <c r="D361" s="202">
        <v>85</v>
      </c>
      <c r="E361" s="512">
        <v>1.1000000000000001</v>
      </c>
      <c r="F361" s="512">
        <v>0.92</v>
      </c>
      <c r="G361" s="512">
        <v>0.71</v>
      </c>
      <c r="H361" s="512">
        <v>0.63</v>
      </c>
      <c r="I361" s="202">
        <v>122</v>
      </c>
      <c r="J361" s="202">
        <v>96</v>
      </c>
      <c r="K361" s="204">
        <v>1.4</v>
      </c>
      <c r="L361" s="204">
        <v>3.8</v>
      </c>
      <c r="M361" s="221">
        <v>138</v>
      </c>
    </row>
    <row r="362" spans="3:13" hidden="1" outlineLevel="1" x14ac:dyDescent="0.25">
      <c r="C362" s="221" t="s">
        <v>399</v>
      </c>
      <c r="D362" s="202" t="s">
        <v>238</v>
      </c>
      <c r="E362" s="203" t="s">
        <v>238</v>
      </c>
      <c r="F362" s="203" t="s">
        <v>238</v>
      </c>
      <c r="G362" s="203" t="s">
        <v>238</v>
      </c>
      <c r="H362" s="203" t="s">
        <v>238</v>
      </c>
      <c r="I362" s="202" t="s">
        <v>238</v>
      </c>
      <c r="J362" s="202" t="s">
        <v>238</v>
      </c>
      <c r="K362" s="204" t="s">
        <v>238</v>
      </c>
      <c r="L362" s="204" t="s">
        <v>238</v>
      </c>
      <c r="M362" s="221">
        <v>140</v>
      </c>
    </row>
    <row r="363" spans="3:13" hidden="1" outlineLevel="1" x14ac:dyDescent="0.25">
      <c r="C363" s="221" t="s">
        <v>400</v>
      </c>
      <c r="D363" s="202" t="s">
        <v>238</v>
      </c>
      <c r="E363" s="203" t="s">
        <v>238</v>
      </c>
      <c r="F363" s="203" t="s">
        <v>238</v>
      </c>
      <c r="G363" s="203" t="s">
        <v>238</v>
      </c>
      <c r="H363" s="203" t="s">
        <v>238</v>
      </c>
      <c r="I363" s="202" t="s">
        <v>238</v>
      </c>
      <c r="J363" s="202" t="s">
        <v>238</v>
      </c>
      <c r="K363" s="204" t="s">
        <v>238</v>
      </c>
      <c r="L363" s="204" t="s">
        <v>238</v>
      </c>
      <c r="M363" s="221">
        <v>141</v>
      </c>
    </row>
    <row r="364" spans="3:13" hidden="1" outlineLevel="1" x14ac:dyDescent="0.25">
      <c r="C364" s="221" t="s">
        <v>370</v>
      </c>
      <c r="D364" s="202">
        <v>85</v>
      </c>
      <c r="E364" s="512">
        <v>1.4</v>
      </c>
      <c r="F364" s="512">
        <v>1.1599999999999999</v>
      </c>
      <c r="G364" s="512">
        <v>0.66</v>
      </c>
      <c r="H364" s="512">
        <v>0.56000000000000005</v>
      </c>
      <c r="I364" s="202">
        <v>99</v>
      </c>
      <c r="J364" s="202">
        <v>86</v>
      </c>
      <c r="K364" s="204">
        <v>1.4</v>
      </c>
      <c r="L364" s="204">
        <v>2.2999999999999998</v>
      </c>
      <c r="M364" s="221">
        <v>111</v>
      </c>
    </row>
    <row r="365" spans="3:13" hidden="1" outlineLevel="1" x14ac:dyDescent="0.25">
      <c r="C365" s="221" t="s">
        <v>369</v>
      </c>
      <c r="D365" s="202" t="s">
        <v>238</v>
      </c>
      <c r="E365" s="203" t="s">
        <v>238</v>
      </c>
      <c r="F365" s="203" t="s">
        <v>238</v>
      </c>
      <c r="G365" s="203" t="s">
        <v>238</v>
      </c>
      <c r="H365" s="203" t="s">
        <v>238</v>
      </c>
      <c r="I365" s="202" t="s">
        <v>238</v>
      </c>
      <c r="J365" s="202" t="s">
        <v>238</v>
      </c>
      <c r="K365" s="204" t="s">
        <v>238</v>
      </c>
      <c r="L365" s="204" t="s">
        <v>238</v>
      </c>
      <c r="M365" s="221">
        <v>110</v>
      </c>
    </row>
    <row r="366" spans="3:13" hidden="1" outlineLevel="1" x14ac:dyDescent="0.25">
      <c r="C366" s="221" t="s">
        <v>371</v>
      </c>
      <c r="D366" s="202">
        <v>85</v>
      </c>
      <c r="E366" s="512">
        <v>1.6</v>
      </c>
      <c r="F366" s="512">
        <v>1.27</v>
      </c>
      <c r="G366" s="512">
        <v>0.56999999999999995</v>
      </c>
      <c r="H366" s="512">
        <v>0.46</v>
      </c>
      <c r="I366" s="202">
        <v>80</v>
      </c>
      <c r="J366" s="202">
        <v>74</v>
      </c>
      <c r="K366" s="204">
        <v>1.2</v>
      </c>
      <c r="L366" s="204">
        <v>2.2999999999999998</v>
      </c>
      <c r="M366" s="221">
        <v>112</v>
      </c>
    </row>
    <row r="367" spans="3:13" hidden="1" outlineLevel="1" x14ac:dyDescent="0.25">
      <c r="C367" s="221" t="s">
        <v>372</v>
      </c>
      <c r="D367" s="202">
        <v>85</v>
      </c>
      <c r="E367" s="512">
        <v>1.33</v>
      </c>
      <c r="F367" s="512">
        <v>1.1299999999999999</v>
      </c>
      <c r="G367" s="512">
        <v>0.63</v>
      </c>
      <c r="H367" s="512">
        <v>0.54</v>
      </c>
      <c r="I367" s="202">
        <v>99</v>
      </c>
      <c r="J367" s="202">
        <v>79</v>
      </c>
      <c r="K367" s="204">
        <v>1.4</v>
      </c>
      <c r="L367" s="204">
        <v>2.4</v>
      </c>
      <c r="M367" s="221">
        <v>113</v>
      </c>
    </row>
    <row r="368" spans="3:13" hidden="1" outlineLevel="1" x14ac:dyDescent="0.25">
      <c r="C368" s="221" t="s">
        <v>366</v>
      </c>
      <c r="D368" s="202">
        <v>85</v>
      </c>
      <c r="E368" s="512">
        <v>1.28</v>
      </c>
      <c r="F368" s="512">
        <v>1.06</v>
      </c>
      <c r="G368" s="512">
        <v>0.71</v>
      </c>
      <c r="H368" s="512">
        <v>0.63</v>
      </c>
      <c r="I368" s="202">
        <v>102</v>
      </c>
      <c r="J368" s="202">
        <v>90</v>
      </c>
      <c r="K368" s="204">
        <v>1.4</v>
      </c>
      <c r="L368" s="204">
        <v>2.2999999999999998</v>
      </c>
      <c r="M368" s="221">
        <v>107</v>
      </c>
    </row>
    <row r="369" spans="3:13" hidden="1" outlineLevel="1" x14ac:dyDescent="0.25">
      <c r="C369" s="221" t="s">
        <v>365</v>
      </c>
      <c r="D369" s="202" t="s">
        <v>238</v>
      </c>
      <c r="E369" s="203" t="s">
        <v>238</v>
      </c>
      <c r="F369" s="203" t="s">
        <v>238</v>
      </c>
      <c r="G369" s="203" t="s">
        <v>238</v>
      </c>
      <c r="H369" s="203" t="s">
        <v>238</v>
      </c>
      <c r="I369" s="202" t="s">
        <v>238</v>
      </c>
      <c r="J369" s="202" t="s">
        <v>238</v>
      </c>
      <c r="K369" s="204" t="s">
        <v>238</v>
      </c>
      <c r="L369" s="204" t="s">
        <v>238</v>
      </c>
      <c r="M369" s="221">
        <v>106</v>
      </c>
    </row>
    <row r="370" spans="3:13" hidden="1" outlineLevel="1" x14ac:dyDescent="0.25">
      <c r="C370" s="221" t="s">
        <v>367</v>
      </c>
      <c r="D370" s="202">
        <v>85</v>
      </c>
      <c r="E370" s="512">
        <v>1.45</v>
      </c>
      <c r="F370" s="512">
        <v>1.17</v>
      </c>
      <c r="G370" s="512">
        <v>0.61</v>
      </c>
      <c r="H370" s="512">
        <v>0.51</v>
      </c>
      <c r="I370" s="202">
        <v>83</v>
      </c>
      <c r="J370" s="202">
        <v>79</v>
      </c>
      <c r="K370" s="204">
        <v>1.2</v>
      </c>
      <c r="L370" s="204">
        <v>2.2999999999999998</v>
      </c>
      <c r="M370" s="221">
        <v>108</v>
      </c>
    </row>
    <row r="371" spans="3:13" hidden="1" outlineLevel="1" x14ac:dyDescent="0.25">
      <c r="C371" s="221" t="s">
        <v>368</v>
      </c>
      <c r="D371" s="202">
        <v>85</v>
      </c>
      <c r="E371" s="512">
        <v>1.22</v>
      </c>
      <c r="F371" s="512">
        <v>1.03</v>
      </c>
      <c r="G371" s="512">
        <v>0.68</v>
      </c>
      <c r="H371" s="512">
        <v>0.59</v>
      </c>
      <c r="I371" s="202">
        <v>103</v>
      </c>
      <c r="J371" s="202">
        <v>89</v>
      </c>
      <c r="K371" s="204">
        <v>1.4</v>
      </c>
      <c r="L371" s="204">
        <v>2.4</v>
      </c>
      <c r="M371" s="221">
        <v>109</v>
      </c>
    </row>
    <row r="372" spans="3:13" hidden="1" outlineLevel="1" x14ac:dyDescent="0.25">
      <c r="C372" s="221" t="s">
        <v>362</v>
      </c>
      <c r="D372" s="202">
        <v>85</v>
      </c>
      <c r="E372" s="512">
        <v>1.21</v>
      </c>
      <c r="F372" s="512">
        <v>1.01</v>
      </c>
      <c r="G372" s="512">
        <v>0.71</v>
      </c>
      <c r="H372" s="512">
        <v>0.62</v>
      </c>
      <c r="I372" s="202">
        <v>102</v>
      </c>
      <c r="J372" s="202">
        <v>90</v>
      </c>
      <c r="K372" s="204">
        <v>1.4</v>
      </c>
      <c r="L372" s="204">
        <v>2.2999999999999998</v>
      </c>
      <c r="M372" s="221">
        <v>103</v>
      </c>
    </row>
    <row r="373" spans="3:13" hidden="1" outlineLevel="1" x14ac:dyDescent="0.25">
      <c r="C373" s="221" t="s">
        <v>361</v>
      </c>
      <c r="D373" s="202">
        <v>85</v>
      </c>
      <c r="E373" s="512">
        <v>1.1000000000000001</v>
      </c>
      <c r="F373" s="512">
        <v>0.93</v>
      </c>
      <c r="G373" s="512">
        <v>0.76</v>
      </c>
      <c r="H373" s="512">
        <v>0.69</v>
      </c>
      <c r="I373" s="202">
        <v>123</v>
      </c>
      <c r="J373" s="202">
        <v>99</v>
      </c>
      <c r="K373" s="204">
        <v>1.5</v>
      </c>
      <c r="L373" s="204">
        <v>2.4</v>
      </c>
      <c r="M373" s="221">
        <v>102</v>
      </c>
    </row>
    <row r="374" spans="3:13" hidden="1" outlineLevel="1" x14ac:dyDescent="0.25">
      <c r="C374" s="221" t="s">
        <v>363</v>
      </c>
      <c r="D374" s="202" t="s">
        <v>238</v>
      </c>
      <c r="E374" s="203" t="s">
        <v>238</v>
      </c>
      <c r="F374" s="203" t="s">
        <v>238</v>
      </c>
      <c r="G374" s="203" t="s">
        <v>238</v>
      </c>
      <c r="H374" s="203" t="s">
        <v>238</v>
      </c>
      <c r="I374" s="202" t="s">
        <v>238</v>
      </c>
      <c r="J374" s="202" t="s">
        <v>238</v>
      </c>
      <c r="K374" s="204" t="s">
        <v>238</v>
      </c>
      <c r="L374" s="204" t="s">
        <v>238</v>
      </c>
      <c r="M374" s="221">
        <v>104</v>
      </c>
    </row>
    <row r="375" spans="3:13" hidden="1" outlineLevel="1" x14ac:dyDescent="0.25">
      <c r="C375" s="221" t="s">
        <v>364</v>
      </c>
      <c r="D375" s="202" t="s">
        <v>238</v>
      </c>
      <c r="E375" s="203" t="s">
        <v>238</v>
      </c>
      <c r="F375" s="203" t="s">
        <v>238</v>
      </c>
      <c r="G375" s="203" t="s">
        <v>238</v>
      </c>
      <c r="H375" s="203" t="s">
        <v>238</v>
      </c>
      <c r="I375" s="202" t="s">
        <v>238</v>
      </c>
      <c r="J375" s="202" t="s">
        <v>238</v>
      </c>
      <c r="K375" s="204" t="s">
        <v>238</v>
      </c>
      <c r="L375" s="204" t="s">
        <v>238</v>
      </c>
      <c r="M375" s="221">
        <v>105</v>
      </c>
    </row>
    <row r="376" spans="3:13" hidden="1" outlineLevel="1" x14ac:dyDescent="0.25">
      <c r="C376" s="800" t="s">
        <v>346</v>
      </c>
      <c r="D376" s="804">
        <v>85</v>
      </c>
      <c r="E376" s="802">
        <v>1.44</v>
      </c>
      <c r="F376" s="802">
        <v>1.1599999999999999</v>
      </c>
      <c r="G376" s="801">
        <v>0.7</v>
      </c>
      <c r="H376" s="801">
        <v>0.61</v>
      </c>
      <c r="I376" s="801">
        <v>67</v>
      </c>
      <c r="J376" s="801">
        <v>80</v>
      </c>
      <c r="K376" s="803">
        <v>1.4</v>
      </c>
      <c r="L376" s="801">
        <v>1.4</v>
      </c>
      <c r="M376" s="800"/>
    </row>
    <row r="377" spans="3:13" hidden="1" outlineLevel="1" x14ac:dyDescent="0.25">
      <c r="C377" s="800" t="s">
        <v>345</v>
      </c>
      <c r="D377" s="804">
        <v>85</v>
      </c>
      <c r="E377" s="802">
        <v>1.36</v>
      </c>
      <c r="F377" s="802">
        <v>1.05</v>
      </c>
      <c r="G377" s="802">
        <v>0.7</v>
      </c>
      <c r="H377" s="802">
        <v>0.61</v>
      </c>
      <c r="I377" s="804">
        <v>67</v>
      </c>
      <c r="J377" s="804">
        <v>80</v>
      </c>
      <c r="K377" s="805">
        <v>1.2</v>
      </c>
      <c r="L377" s="805">
        <v>1.3</v>
      </c>
      <c r="M377" s="800"/>
    </row>
    <row r="378" spans="3:13" hidden="1" outlineLevel="1" x14ac:dyDescent="0.25">
      <c r="C378" s="800" t="s">
        <v>347</v>
      </c>
      <c r="D378" s="804">
        <v>85</v>
      </c>
      <c r="E378" s="802">
        <v>1.66</v>
      </c>
      <c r="F378" s="802">
        <v>1.29</v>
      </c>
      <c r="G378" s="802">
        <v>0.61</v>
      </c>
      <c r="H378" s="802">
        <v>0.51</v>
      </c>
      <c r="I378" s="804">
        <v>54</v>
      </c>
      <c r="J378" s="804">
        <v>70</v>
      </c>
      <c r="K378" s="805">
        <v>1</v>
      </c>
      <c r="L378" s="805">
        <v>1</v>
      </c>
      <c r="M378" s="800"/>
    </row>
    <row r="379" spans="3:13" hidden="1" outlineLevel="1" x14ac:dyDescent="0.25">
      <c r="C379" s="800" t="s">
        <v>348</v>
      </c>
      <c r="D379" s="804">
        <v>85</v>
      </c>
      <c r="E379" s="802">
        <v>1.27</v>
      </c>
      <c r="F379" s="802">
        <v>1.04</v>
      </c>
      <c r="G379" s="802">
        <v>0.78</v>
      </c>
      <c r="H379" s="802">
        <v>0.7</v>
      </c>
      <c r="I379" s="804">
        <v>134</v>
      </c>
      <c r="J379" s="804">
        <v>112</v>
      </c>
      <c r="K379" s="805">
        <v>1.4</v>
      </c>
      <c r="L379" s="805">
        <v>2</v>
      </c>
      <c r="M379" s="800"/>
    </row>
    <row r="380" spans="3:13" hidden="1" outlineLevel="1" x14ac:dyDescent="0.25">
      <c r="C380" s="800" t="s">
        <v>342</v>
      </c>
      <c r="D380" s="804">
        <v>85</v>
      </c>
      <c r="E380" s="802">
        <v>1.32</v>
      </c>
      <c r="F380" s="802">
        <v>1.07</v>
      </c>
      <c r="G380" s="802">
        <v>0.73</v>
      </c>
      <c r="H380" s="802">
        <v>0.64</v>
      </c>
      <c r="I380" s="804">
        <v>71</v>
      </c>
      <c r="J380" s="804">
        <v>83</v>
      </c>
      <c r="K380" s="805">
        <v>1.2</v>
      </c>
      <c r="L380" s="805">
        <v>1.3</v>
      </c>
      <c r="M380" s="800"/>
    </row>
    <row r="381" spans="3:13" hidden="1" outlineLevel="1" x14ac:dyDescent="0.25">
      <c r="C381" s="800" t="s">
        <v>341</v>
      </c>
      <c r="D381" s="804">
        <v>85</v>
      </c>
      <c r="E381" s="806">
        <v>1.25</v>
      </c>
      <c r="F381" s="806">
        <v>0.97</v>
      </c>
      <c r="G381" s="802">
        <v>0.82</v>
      </c>
      <c r="H381" s="802">
        <v>0.74</v>
      </c>
      <c r="I381" s="804">
        <v>96</v>
      </c>
      <c r="J381" s="804">
        <v>97</v>
      </c>
      <c r="K381" s="805">
        <v>1.4</v>
      </c>
      <c r="L381" s="805">
        <v>1.4</v>
      </c>
      <c r="M381" s="800"/>
    </row>
    <row r="382" spans="3:13" hidden="1" outlineLevel="1" x14ac:dyDescent="0.25">
      <c r="C382" s="800" t="s">
        <v>343</v>
      </c>
      <c r="D382" s="804">
        <v>85</v>
      </c>
      <c r="E382" s="806">
        <v>1.49</v>
      </c>
      <c r="F382" s="806">
        <v>1.2</v>
      </c>
      <c r="G382" s="806">
        <v>0.63</v>
      </c>
      <c r="H382" s="806">
        <v>0.53</v>
      </c>
      <c r="I382" s="804">
        <v>58</v>
      </c>
      <c r="J382" s="804">
        <v>72</v>
      </c>
      <c r="K382" s="805">
        <v>1</v>
      </c>
      <c r="L382" s="805">
        <v>1</v>
      </c>
      <c r="M382" s="800"/>
    </row>
    <row r="383" spans="3:13" hidden="1" outlineLevel="1" x14ac:dyDescent="0.25">
      <c r="C383" s="800" t="s">
        <v>344</v>
      </c>
      <c r="D383" s="804">
        <v>85</v>
      </c>
      <c r="E383" s="802">
        <v>1.17</v>
      </c>
      <c r="F383" s="802">
        <v>0.95</v>
      </c>
      <c r="G383" s="806">
        <v>0.83</v>
      </c>
      <c r="H383" s="806">
        <v>0.75</v>
      </c>
      <c r="I383" s="804">
        <v>138</v>
      </c>
      <c r="J383" s="804">
        <v>116</v>
      </c>
      <c r="K383" s="805">
        <v>1.4</v>
      </c>
      <c r="L383" s="805">
        <v>2</v>
      </c>
      <c r="M383" s="800"/>
    </row>
    <row r="384" spans="3:13" hidden="1" outlineLevel="1" x14ac:dyDescent="0.25">
      <c r="C384" s="800" t="s">
        <v>338</v>
      </c>
      <c r="D384" s="804">
        <v>85</v>
      </c>
      <c r="E384" s="802">
        <v>1.22</v>
      </c>
      <c r="F384" s="802">
        <v>1.07</v>
      </c>
      <c r="G384" s="802">
        <v>0.72</v>
      </c>
      <c r="H384" s="802">
        <v>0.64</v>
      </c>
      <c r="I384" s="804">
        <v>71</v>
      </c>
      <c r="J384" s="804">
        <v>82</v>
      </c>
      <c r="K384" s="805">
        <v>1.2</v>
      </c>
      <c r="L384" s="805">
        <v>1.3</v>
      </c>
      <c r="M384" s="800"/>
    </row>
    <row r="385" spans="3:13" hidden="1" outlineLevel="1" x14ac:dyDescent="0.25">
      <c r="C385" s="800" t="s">
        <v>337</v>
      </c>
      <c r="D385" s="804">
        <v>85</v>
      </c>
      <c r="E385" s="802">
        <v>1.1599999999999999</v>
      </c>
      <c r="F385" s="802">
        <v>0.97</v>
      </c>
      <c r="G385" s="802">
        <v>0.82</v>
      </c>
      <c r="H385" s="802">
        <v>0.74960000000000004</v>
      </c>
      <c r="I385" s="804">
        <v>96</v>
      </c>
      <c r="J385" s="804">
        <v>97</v>
      </c>
      <c r="K385" s="805">
        <v>1.4</v>
      </c>
      <c r="L385" s="805">
        <v>1.4</v>
      </c>
      <c r="M385" s="800"/>
    </row>
    <row r="386" spans="3:13" hidden="1" outlineLevel="1" x14ac:dyDescent="0.25">
      <c r="C386" s="800" t="s">
        <v>339</v>
      </c>
      <c r="D386" s="806" t="s">
        <v>238</v>
      </c>
      <c r="E386" s="806" t="s">
        <v>238</v>
      </c>
      <c r="F386" s="806" t="s">
        <v>238</v>
      </c>
      <c r="G386" s="806" t="s">
        <v>238</v>
      </c>
      <c r="H386" s="806" t="s">
        <v>238</v>
      </c>
      <c r="I386" s="806" t="s">
        <v>238</v>
      </c>
      <c r="J386" s="806" t="s">
        <v>238</v>
      </c>
      <c r="K386" s="806" t="s">
        <v>238</v>
      </c>
      <c r="L386" s="806" t="s">
        <v>238</v>
      </c>
      <c r="M386" s="800">
        <v>80</v>
      </c>
    </row>
    <row r="387" spans="3:13" hidden="1" outlineLevel="1" x14ac:dyDescent="0.25">
      <c r="C387" s="800" t="s">
        <v>340</v>
      </c>
      <c r="D387" s="804">
        <v>85</v>
      </c>
      <c r="E387" s="806">
        <v>1.0900000000000001</v>
      </c>
      <c r="F387" s="806">
        <v>0.95</v>
      </c>
      <c r="G387" s="806">
        <v>0.81</v>
      </c>
      <c r="H387" s="806">
        <v>0.73</v>
      </c>
      <c r="I387" s="804">
        <v>117</v>
      </c>
      <c r="J387" s="804">
        <v>107</v>
      </c>
      <c r="K387" s="805">
        <v>1.4</v>
      </c>
      <c r="L387" s="805">
        <v>2</v>
      </c>
      <c r="M387" s="800">
        <v>81</v>
      </c>
    </row>
    <row r="388" spans="3:13" hidden="1" outlineLevel="1" x14ac:dyDescent="0.25">
      <c r="C388" s="221" t="s">
        <v>394</v>
      </c>
      <c r="D388" s="202">
        <v>85</v>
      </c>
      <c r="E388" s="512">
        <v>1.49</v>
      </c>
      <c r="F388" s="512">
        <v>1.17</v>
      </c>
      <c r="G388" s="512">
        <v>0.71</v>
      </c>
      <c r="H388" s="512">
        <v>0.62</v>
      </c>
      <c r="I388" s="202">
        <v>50</v>
      </c>
      <c r="J388" s="202">
        <v>72</v>
      </c>
      <c r="K388" s="204">
        <v>1.4</v>
      </c>
      <c r="L388" s="204">
        <v>1.4</v>
      </c>
      <c r="M388" s="221">
        <v>135</v>
      </c>
    </row>
    <row r="389" spans="3:13" hidden="1" outlineLevel="1" x14ac:dyDescent="0.25">
      <c r="C389" s="221" t="s">
        <v>393</v>
      </c>
      <c r="D389" s="202" t="s">
        <v>238</v>
      </c>
      <c r="E389" s="203" t="s">
        <v>238</v>
      </c>
      <c r="F389" s="203" t="s">
        <v>238</v>
      </c>
      <c r="G389" s="203" t="s">
        <v>238</v>
      </c>
      <c r="H389" s="203" t="s">
        <v>238</v>
      </c>
      <c r="I389" s="202" t="s">
        <v>238</v>
      </c>
      <c r="J389" s="202" t="s">
        <v>238</v>
      </c>
      <c r="K389" s="204" t="s">
        <v>238</v>
      </c>
      <c r="L389" s="204" t="s">
        <v>238</v>
      </c>
      <c r="M389" s="221">
        <v>134</v>
      </c>
    </row>
    <row r="390" spans="3:13" hidden="1" outlineLevel="1" x14ac:dyDescent="0.25">
      <c r="C390" s="221" t="s">
        <v>395</v>
      </c>
      <c r="D390" s="202">
        <v>85</v>
      </c>
      <c r="E390" s="512">
        <v>1.79</v>
      </c>
      <c r="F390" s="512">
        <v>1.35</v>
      </c>
      <c r="G390" s="512">
        <v>0.6</v>
      </c>
      <c r="H390" s="512">
        <v>0.5</v>
      </c>
      <c r="I390" s="202">
        <v>32</v>
      </c>
      <c r="J390" s="202">
        <v>59</v>
      </c>
      <c r="K390" s="204">
        <v>1.2</v>
      </c>
      <c r="L390" s="204">
        <v>1.4</v>
      </c>
      <c r="M390" s="221">
        <v>136</v>
      </c>
    </row>
    <row r="391" spans="3:13" hidden="1" outlineLevel="1" x14ac:dyDescent="0.25">
      <c r="C391" s="221" t="s">
        <v>396</v>
      </c>
      <c r="D391" s="202">
        <v>85</v>
      </c>
      <c r="E391" s="512">
        <v>1.46</v>
      </c>
      <c r="F391" s="512">
        <v>1.1599999999999999</v>
      </c>
      <c r="G391" s="512">
        <v>0.67</v>
      </c>
      <c r="H391" s="512">
        <v>0.57999999999999996</v>
      </c>
      <c r="I391" s="202">
        <v>73</v>
      </c>
      <c r="J391" s="202">
        <v>80</v>
      </c>
      <c r="K391" s="204">
        <v>1.6</v>
      </c>
      <c r="L391" s="204">
        <v>1.4</v>
      </c>
      <c r="M391" s="221">
        <v>137</v>
      </c>
    </row>
    <row r="392" spans="3:13" hidden="1" outlineLevel="1" x14ac:dyDescent="0.25">
      <c r="C392" s="221" t="s">
        <v>390</v>
      </c>
      <c r="D392" s="202">
        <v>85</v>
      </c>
      <c r="E392" s="512">
        <v>1.36</v>
      </c>
      <c r="F392" s="512">
        <v>1.08</v>
      </c>
      <c r="G392" s="512">
        <v>0.74</v>
      </c>
      <c r="H392" s="512">
        <v>0.66</v>
      </c>
      <c r="I392" s="202">
        <v>54</v>
      </c>
      <c r="J392" s="202">
        <v>75</v>
      </c>
      <c r="K392" s="204">
        <v>1.4</v>
      </c>
      <c r="L392" s="204">
        <v>1.4</v>
      </c>
      <c r="M392" s="221">
        <v>131</v>
      </c>
    </row>
    <row r="393" spans="3:13" hidden="1" outlineLevel="1" x14ac:dyDescent="0.25">
      <c r="C393" s="221" t="s">
        <v>389</v>
      </c>
      <c r="D393" s="202" t="s">
        <v>238</v>
      </c>
      <c r="E393" s="203" t="s">
        <v>238</v>
      </c>
      <c r="F393" s="203" t="s">
        <v>238</v>
      </c>
      <c r="G393" s="203" t="s">
        <v>238</v>
      </c>
      <c r="H393" s="203" t="s">
        <v>238</v>
      </c>
      <c r="I393" s="202" t="s">
        <v>238</v>
      </c>
      <c r="J393" s="202" t="s">
        <v>238</v>
      </c>
      <c r="K393" s="204" t="s">
        <v>238</v>
      </c>
      <c r="L393" s="204" t="s">
        <v>238</v>
      </c>
      <c r="M393" s="221">
        <v>130</v>
      </c>
    </row>
    <row r="394" spans="3:13" hidden="1" outlineLevel="1" x14ac:dyDescent="0.25">
      <c r="C394" s="221" t="s">
        <v>391</v>
      </c>
      <c r="D394" s="202">
        <v>85</v>
      </c>
      <c r="E394" s="512">
        <v>1.62</v>
      </c>
      <c r="F394" s="512">
        <v>1.26</v>
      </c>
      <c r="G394" s="512">
        <v>0.61</v>
      </c>
      <c r="H394" s="512">
        <v>0.52</v>
      </c>
      <c r="I394" s="202">
        <v>36</v>
      </c>
      <c r="J394" s="202">
        <v>61</v>
      </c>
      <c r="K394" s="204">
        <v>1.2</v>
      </c>
      <c r="L394" s="204">
        <v>1.4</v>
      </c>
      <c r="M394" s="221">
        <v>132</v>
      </c>
    </row>
    <row r="395" spans="3:13" hidden="1" outlineLevel="1" x14ac:dyDescent="0.25">
      <c r="C395" s="221" t="s">
        <v>392</v>
      </c>
      <c r="D395" s="202">
        <v>85</v>
      </c>
      <c r="E395" s="512">
        <v>1.35</v>
      </c>
      <c r="F395" s="512">
        <v>1.07</v>
      </c>
      <c r="G395" s="512">
        <v>0.7</v>
      </c>
      <c r="H395" s="512">
        <v>0.61</v>
      </c>
      <c r="I395" s="202">
        <v>76</v>
      </c>
      <c r="J395" s="202">
        <v>82</v>
      </c>
      <c r="K395" s="204">
        <v>1.6</v>
      </c>
      <c r="L395" s="204">
        <v>1.4</v>
      </c>
      <c r="M395" s="221">
        <v>133</v>
      </c>
    </row>
    <row r="396" spans="3:13" hidden="1" outlineLevel="1" x14ac:dyDescent="0.25">
      <c r="C396" s="221" t="s">
        <v>386</v>
      </c>
      <c r="D396" s="202">
        <v>85</v>
      </c>
      <c r="E396" s="512">
        <v>1.27</v>
      </c>
      <c r="F396" s="512">
        <v>1.08</v>
      </c>
      <c r="G396" s="512">
        <v>0.74</v>
      </c>
      <c r="H396" s="512">
        <v>0.66</v>
      </c>
      <c r="I396" s="202">
        <v>54</v>
      </c>
      <c r="J396" s="202">
        <v>75</v>
      </c>
      <c r="K396" s="204">
        <v>1.4</v>
      </c>
      <c r="L396" s="204">
        <v>1.4</v>
      </c>
      <c r="M396" s="221">
        <v>127</v>
      </c>
    </row>
    <row r="397" spans="3:13" hidden="1" outlineLevel="1" x14ac:dyDescent="0.25">
      <c r="C397" s="221" t="s">
        <v>385</v>
      </c>
      <c r="D397" s="202">
        <v>85</v>
      </c>
      <c r="E397" s="512">
        <v>1.19</v>
      </c>
      <c r="F397" s="512">
        <v>1.01</v>
      </c>
      <c r="G397" s="512">
        <v>0.81</v>
      </c>
      <c r="H397" s="512">
        <v>0.75</v>
      </c>
      <c r="I397" s="202">
        <v>70</v>
      </c>
      <c r="J397" s="202">
        <v>85</v>
      </c>
      <c r="K397" s="204">
        <v>1.6</v>
      </c>
      <c r="L397" s="204">
        <v>1.4</v>
      </c>
      <c r="M397" s="221">
        <v>126</v>
      </c>
    </row>
    <row r="398" spans="3:13" hidden="1" outlineLevel="1" x14ac:dyDescent="0.25">
      <c r="C398" s="221" t="s">
        <v>387</v>
      </c>
      <c r="D398" s="202" t="s">
        <v>238</v>
      </c>
      <c r="E398" s="203" t="s">
        <v>238</v>
      </c>
      <c r="F398" s="203" t="s">
        <v>238</v>
      </c>
      <c r="G398" s="203" t="s">
        <v>238</v>
      </c>
      <c r="H398" s="203" t="s">
        <v>238</v>
      </c>
      <c r="I398" s="202" t="s">
        <v>238</v>
      </c>
      <c r="J398" s="202" t="s">
        <v>238</v>
      </c>
      <c r="K398" s="204" t="s">
        <v>238</v>
      </c>
      <c r="L398" s="204" t="s">
        <v>238</v>
      </c>
      <c r="M398" s="221">
        <v>128</v>
      </c>
    </row>
    <row r="399" spans="3:13" hidden="1" outlineLevel="1" x14ac:dyDescent="0.25">
      <c r="C399" s="221" t="s">
        <v>388</v>
      </c>
      <c r="D399" s="202" t="s">
        <v>238</v>
      </c>
      <c r="E399" s="203" t="s">
        <v>238</v>
      </c>
      <c r="F399" s="203" t="s">
        <v>238</v>
      </c>
      <c r="G399" s="203" t="s">
        <v>238</v>
      </c>
      <c r="H399" s="203" t="s">
        <v>238</v>
      </c>
      <c r="I399" s="202" t="s">
        <v>238</v>
      </c>
      <c r="J399" s="202" t="s">
        <v>238</v>
      </c>
      <c r="K399" s="204" t="s">
        <v>238</v>
      </c>
      <c r="L399" s="204" t="s">
        <v>238</v>
      </c>
      <c r="M399" s="221">
        <v>129</v>
      </c>
    </row>
    <row r="400" spans="3:13" hidden="1" outlineLevel="1" x14ac:dyDescent="0.25">
      <c r="C400" s="221" t="s">
        <v>382</v>
      </c>
      <c r="D400" s="202">
        <v>85</v>
      </c>
      <c r="E400" s="512">
        <v>1.31</v>
      </c>
      <c r="F400" s="512">
        <v>1.1599999999999999</v>
      </c>
      <c r="G400" s="512">
        <v>0.73</v>
      </c>
      <c r="H400" s="512">
        <v>0.59</v>
      </c>
      <c r="I400" s="202">
        <v>93</v>
      </c>
      <c r="J400" s="202">
        <v>84</v>
      </c>
      <c r="K400" s="204">
        <v>1.5</v>
      </c>
      <c r="L400" s="204">
        <v>2.2999999999999998</v>
      </c>
      <c r="M400" s="221">
        <v>123</v>
      </c>
    </row>
    <row r="401" spans="3:13" hidden="1" outlineLevel="1" x14ac:dyDescent="0.25">
      <c r="C401" s="221" t="s">
        <v>381</v>
      </c>
      <c r="D401" s="202" t="s">
        <v>238</v>
      </c>
      <c r="E401" s="203" t="s">
        <v>238</v>
      </c>
      <c r="F401" s="203" t="s">
        <v>238</v>
      </c>
      <c r="G401" s="203" t="s">
        <v>238</v>
      </c>
      <c r="H401" s="203" t="s">
        <v>238</v>
      </c>
      <c r="I401" s="202" t="s">
        <v>238</v>
      </c>
      <c r="J401" s="202" t="s">
        <v>238</v>
      </c>
      <c r="K401" s="204" t="s">
        <v>238</v>
      </c>
      <c r="L401" s="204" t="s">
        <v>238</v>
      </c>
      <c r="M401" s="221">
        <v>122</v>
      </c>
    </row>
    <row r="402" spans="3:13" hidden="1" outlineLevel="1" x14ac:dyDescent="0.25">
      <c r="C402" s="221" t="s">
        <v>383</v>
      </c>
      <c r="D402" s="202">
        <v>85</v>
      </c>
      <c r="E402" s="512">
        <v>1.54</v>
      </c>
      <c r="F402" s="512">
        <v>1.29</v>
      </c>
      <c r="G402" s="512">
        <v>0.61</v>
      </c>
      <c r="H402" s="512">
        <v>0.51</v>
      </c>
      <c r="I402" s="202">
        <v>70</v>
      </c>
      <c r="J402" s="202">
        <v>72</v>
      </c>
      <c r="K402" s="204">
        <v>1.3</v>
      </c>
      <c r="L402" s="204">
        <v>2.2000000000000002</v>
      </c>
      <c r="M402" s="221">
        <v>124</v>
      </c>
    </row>
    <row r="403" spans="3:13" hidden="1" outlineLevel="1" x14ac:dyDescent="0.25">
      <c r="C403" s="221" t="s">
        <v>384</v>
      </c>
      <c r="D403" s="202">
        <v>85</v>
      </c>
      <c r="E403" s="512">
        <v>1.25</v>
      </c>
      <c r="F403" s="512">
        <v>1.1100000000000001</v>
      </c>
      <c r="G403" s="512">
        <v>0.65</v>
      </c>
      <c r="H403" s="512">
        <v>0.56000000000000005</v>
      </c>
      <c r="I403" s="202">
        <v>92</v>
      </c>
      <c r="J403" s="202">
        <v>83</v>
      </c>
      <c r="K403" s="204">
        <v>1.5</v>
      </c>
      <c r="L403" s="204">
        <v>2.4</v>
      </c>
      <c r="M403" s="221">
        <v>125</v>
      </c>
    </row>
    <row r="404" spans="3:13" hidden="1" outlineLevel="1" x14ac:dyDescent="0.25">
      <c r="C404" s="221" t="s">
        <v>378</v>
      </c>
      <c r="D404" s="202">
        <v>85</v>
      </c>
      <c r="E404" s="512">
        <v>1.2</v>
      </c>
      <c r="F404" s="512">
        <v>1.07</v>
      </c>
      <c r="G404" s="512">
        <v>0.74</v>
      </c>
      <c r="H404" s="512">
        <v>0.66</v>
      </c>
      <c r="I404" s="202">
        <v>92</v>
      </c>
      <c r="J404" s="202">
        <v>88</v>
      </c>
      <c r="K404" s="204">
        <v>1.5</v>
      </c>
      <c r="L404" s="204">
        <v>2.2999999999999998</v>
      </c>
      <c r="M404" s="221">
        <v>119</v>
      </c>
    </row>
    <row r="405" spans="3:13" hidden="1" outlineLevel="1" x14ac:dyDescent="0.25">
      <c r="C405" s="221" t="s">
        <v>377</v>
      </c>
      <c r="D405" s="202" t="s">
        <v>238</v>
      </c>
      <c r="E405" s="203" t="s">
        <v>238</v>
      </c>
      <c r="F405" s="203" t="s">
        <v>238</v>
      </c>
      <c r="G405" s="203" t="s">
        <v>238</v>
      </c>
      <c r="H405" s="203" t="s">
        <v>238</v>
      </c>
      <c r="I405" s="202" t="s">
        <v>238</v>
      </c>
      <c r="J405" s="202" t="s">
        <v>238</v>
      </c>
      <c r="K405" s="204" t="s">
        <v>238</v>
      </c>
      <c r="L405" s="204" t="s">
        <v>238</v>
      </c>
      <c r="M405" s="221">
        <v>118</v>
      </c>
    </row>
    <row r="406" spans="3:13" hidden="1" outlineLevel="1" x14ac:dyDescent="0.25">
      <c r="C406" s="221" t="s">
        <v>379</v>
      </c>
      <c r="D406" s="202">
        <v>85</v>
      </c>
      <c r="E406" s="512">
        <v>1.4</v>
      </c>
      <c r="F406" s="512">
        <v>1.2</v>
      </c>
      <c r="G406" s="512">
        <v>0.63</v>
      </c>
      <c r="H406" s="512">
        <v>0.54</v>
      </c>
      <c r="I406" s="202">
        <v>75</v>
      </c>
      <c r="J406" s="202">
        <v>76</v>
      </c>
      <c r="K406" s="204">
        <v>1.2</v>
      </c>
      <c r="L406" s="204">
        <v>2.2000000000000002</v>
      </c>
      <c r="M406" s="221">
        <v>120</v>
      </c>
    </row>
    <row r="407" spans="3:13" hidden="1" outlineLevel="1" x14ac:dyDescent="0.25">
      <c r="C407" s="221" t="s">
        <v>380</v>
      </c>
      <c r="D407" s="202">
        <v>85</v>
      </c>
      <c r="E407" s="512">
        <v>1.1399999999999999</v>
      </c>
      <c r="F407" s="512">
        <v>1.01</v>
      </c>
      <c r="G407" s="512">
        <v>0.69</v>
      </c>
      <c r="H407" s="512">
        <v>0.61</v>
      </c>
      <c r="I407" s="202">
        <v>97</v>
      </c>
      <c r="J407" s="202">
        <v>87</v>
      </c>
      <c r="K407" s="204">
        <v>1.5</v>
      </c>
      <c r="L407" s="204">
        <v>2.4</v>
      </c>
      <c r="M407" s="221">
        <v>121</v>
      </c>
    </row>
    <row r="408" spans="3:13" hidden="1" outlineLevel="1" x14ac:dyDescent="0.25">
      <c r="C408" s="221" t="s">
        <v>374</v>
      </c>
      <c r="D408" s="202">
        <v>85</v>
      </c>
      <c r="E408" s="512">
        <v>1.21</v>
      </c>
      <c r="F408" s="512">
        <v>1.07</v>
      </c>
      <c r="G408" s="512">
        <v>0.75</v>
      </c>
      <c r="H408" s="512">
        <v>0.67</v>
      </c>
      <c r="I408" s="202">
        <v>86</v>
      </c>
      <c r="J408" s="202">
        <v>87</v>
      </c>
      <c r="K408" s="204">
        <v>1.4</v>
      </c>
      <c r="L408" s="204">
        <v>2.2999999999999998</v>
      </c>
      <c r="M408" s="221">
        <v>115</v>
      </c>
    </row>
    <row r="409" spans="3:13" hidden="1" outlineLevel="1" x14ac:dyDescent="0.25">
      <c r="C409" s="221" t="s">
        <v>373</v>
      </c>
      <c r="D409" s="202">
        <v>85</v>
      </c>
      <c r="E409" s="512">
        <v>1.07</v>
      </c>
      <c r="F409" s="512">
        <v>0.96</v>
      </c>
      <c r="G409" s="512">
        <v>0.81</v>
      </c>
      <c r="H409" s="512">
        <v>0.75</v>
      </c>
      <c r="I409" s="202">
        <v>108</v>
      </c>
      <c r="J409" s="202">
        <v>97</v>
      </c>
      <c r="K409" s="204">
        <v>1.6</v>
      </c>
      <c r="L409" s="204">
        <v>2.4</v>
      </c>
      <c r="M409" s="221">
        <v>114</v>
      </c>
    </row>
    <row r="410" spans="3:13" hidden="1" outlineLevel="1" x14ac:dyDescent="0.25">
      <c r="C410" s="221" t="s">
        <v>375</v>
      </c>
      <c r="D410" s="202" t="s">
        <v>238</v>
      </c>
      <c r="E410" s="203" t="s">
        <v>238</v>
      </c>
      <c r="F410" s="203" t="s">
        <v>238</v>
      </c>
      <c r="G410" s="203" t="s">
        <v>238</v>
      </c>
      <c r="H410" s="203" t="s">
        <v>238</v>
      </c>
      <c r="I410" s="202" t="s">
        <v>238</v>
      </c>
      <c r="J410" s="202" t="s">
        <v>238</v>
      </c>
      <c r="K410" s="204" t="s">
        <v>238</v>
      </c>
      <c r="L410" s="204" t="s">
        <v>238</v>
      </c>
      <c r="M410" s="221">
        <v>116</v>
      </c>
    </row>
    <row r="411" spans="3:13" hidden="1" outlineLevel="1" x14ac:dyDescent="0.25">
      <c r="C411" s="221" t="s">
        <v>376</v>
      </c>
      <c r="D411" s="202" t="s">
        <v>238</v>
      </c>
      <c r="E411" s="203" t="s">
        <v>238</v>
      </c>
      <c r="F411" s="203" t="s">
        <v>238</v>
      </c>
      <c r="G411" s="203" t="s">
        <v>238</v>
      </c>
      <c r="H411" s="203" t="s">
        <v>238</v>
      </c>
      <c r="I411" s="202" t="s">
        <v>238</v>
      </c>
      <c r="J411" s="202" t="s">
        <v>238</v>
      </c>
      <c r="K411" s="204" t="s">
        <v>238</v>
      </c>
      <c r="L411" s="204" t="s">
        <v>238</v>
      </c>
      <c r="M411" s="221">
        <v>117</v>
      </c>
    </row>
    <row r="412" spans="3:13" hidden="1" outlineLevel="1" x14ac:dyDescent="0.25">
      <c r="C412" s="474" t="s">
        <v>743</v>
      </c>
      <c r="D412" s="475" t="e">
        <f>#REF!</f>
        <v>#REF!</v>
      </c>
      <c r="E412" s="476" t="e">
        <f>#REF!</f>
        <v>#REF!</v>
      </c>
      <c r="F412" s="476"/>
      <c r="G412" s="476" t="e">
        <f>#REF!</f>
        <v>#REF!</v>
      </c>
      <c r="H412" s="476"/>
      <c r="I412" s="475" t="e">
        <f>#REF!</f>
        <v>#REF!</v>
      </c>
      <c r="J412" s="475" t="e">
        <f>#REF!</f>
        <v>#REF!</v>
      </c>
      <c r="K412" s="477" t="e">
        <f>#REF!</f>
        <v>#REF!</v>
      </c>
      <c r="L412" s="477" t="e">
        <f>#REF!</f>
        <v>#REF!</v>
      </c>
      <c r="M412" s="221">
        <v>150</v>
      </c>
    </row>
    <row r="413" spans="3:13" hidden="1" outlineLevel="1" x14ac:dyDescent="0.25">
      <c r="C413" s="474" t="s">
        <v>742</v>
      </c>
      <c r="D413" s="478" t="e">
        <f>#REF!</f>
        <v>#REF!</v>
      </c>
      <c r="E413" s="476" t="e">
        <f>#REF!</f>
        <v>#REF!</v>
      </c>
      <c r="F413" s="475"/>
      <c r="G413" s="476" t="e">
        <f>#REF!</f>
        <v>#REF!</v>
      </c>
      <c r="H413" s="475"/>
      <c r="I413" s="475" t="e">
        <f>#REF!</f>
        <v>#REF!</v>
      </c>
      <c r="J413" s="475" t="e">
        <f>#REF!</f>
        <v>#REF!</v>
      </c>
      <c r="K413" s="477" t="e">
        <f>#REF!</f>
        <v>#REF!</v>
      </c>
      <c r="L413" s="477" t="e">
        <f>#REF!</f>
        <v>#REF!</v>
      </c>
      <c r="M413" s="221">
        <v>151</v>
      </c>
    </row>
    <row r="414" spans="3:13" hidden="1" outlineLevel="1" x14ac:dyDescent="0.25">
      <c r="C414" s="474" t="s">
        <v>744</v>
      </c>
      <c r="D414" s="478" t="e">
        <f>#REF!</f>
        <v>#REF!</v>
      </c>
      <c r="E414" s="476" t="e">
        <f>#REF!</f>
        <v>#REF!</v>
      </c>
      <c r="F414" s="475"/>
      <c r="G414" s="476" t="e">
        <f>#REF!</f>
        <v>#REF!</v>
      </c>
      <c r="H414" s="475"/>
      <c r="I414" s="475" t="e">
        <f>#REF!</f>
        <v>#REF!</v>
      </c>
      <c r="J414" s="475" t="e">
        <f>#REF!</f>
        <v>#REF!</v>
      </c>
      <c r="K414" s="477" t="e">
        <f>#REF!</f>
        <v>#REF!</v>
      </c>
      <c r="L414" s="477" t="e">
        <f>#REF!</f>
        <v>#REF!</v>
      </c>
      <c r="M414" s="221">
        <v>152</v>
      </c>
    </row>
    <row r="415" spans="3:13" hidden="1" outlineLevel="1" x14ac:dyDescent="0.25">
      <c r="C415" s="221" t="s">
        <v>335</v>
      </c>
      <c r="D415" s="202">
        <v>88</v>
      </c>
      <c r="E415" s="203">
        <v>2.2999999999999998</v>
      </c>
      <c r="F415" s="203">
        <v>1.7</v>
      </c>
      <c r="G415" s="203">
        <v>0.5</v>
      </c>
      <c r="H415" s="203">
        <v>0.39</v>
      </c>
      <c r="I415" s="202">
        <v>20</v>
      </c>
      <c r="J415" s="202">
        <v>48</v>
      </c>
      <c r="K415" s="204">
        <v>0.5</v>
      </c>
      <c r="L415" s="204">
        <v>1.4</v>
      </c>
      <c r="M415" s="221">
        <v>154</v>
      </c>
    </row>
    <row r="416" spans="3:13" hidden="1" outlineLevel="1" x14ac:dyDescent="0.25">
      <c r="C416" s="221" t="s">
        <v>332</v>
      </c>
      <c r="D416" s="202">
        <v>88</v>
      </c>
      <c r="E416" s="203">
        <v>2.41</v>
      </c>
      <c r="F416" s="203">
        <v>1.8</v>
      </c>
      <c r="G416" s="203">
        <v>0.42</v>
      </c>
      <c r="H416" s="203">
        <v>0.31</v>
      </c>
      <c r="I416" s="202">
        <v>22</v>
      </c>
      <c r="J416" s="202">
        <v>44</v>
      </c>
      <c r="K416" s="204">
        <v>0.5</v>
      </c>
      <c r="L416" s="204">
        <v>0.8</v>
      </c>
      <c r="M416" s="221">
        <v>153</v>
      </c>
    </row>
    <row r="417" spans="3:13" hidden="1" outlineLevel="1" x14ac:dyDescent="0.25">
      <c r="C417" s="221" t="s">
        <v>333</v>
      </c>
      <c r="D417" s="202">
        <v>88</v>
      </c>
      <c r="E417" s="203">
        <v>2.4700000000000002</v>
      </c>
      <c r="F417" s="203">
        <v>1.8</v>
      </c>
      <c r="G417" s="203">
        <v>0.44</v>
      </c>
      <c r="H417" s="203">
        <v>0.33</v>
      </c>
      <c r="I417" s="202">
        <v>24</v>
      </c>
      <c r="J417" s="202">
        <v>46</v>
      </c>
      <c r="K417" s="204">
        <v>0.5</v>
      </c>
      <c r="L417" s="204">
        <v>1.4</v>
      </c>
      <c r="M417" s="221">
        <v>163</v>
      </c>
    </row>
    <row r="418" spans="3:13" hidden="1" outlineLevel="1" x14ac:dyDescent="0.25">
      <c r="C418" s="221" t="s">
        <v>336</v>
      </c>
      <c r="D418" s="202">
        <v>88</v>
      </c>
      <c r="E418" s="203">
        <v>1.74</v>
      </c>
      <c r="F418" s="203">
        <v>1.3</v>
      </c>
      <c r="G418" s="203">
        <v>0.57999999999999996</v>
      </c>
      <c r="H418" s="203">
        <v>0.48</v>
      </c>
      <c r="I418" s="202">
        <v>43</v>
      </c>
      <c r="J418" s="202">
        <v>54</v>
      </c>
      <c r="K418" s="204">
        <v>0.5</v>
      </c>
      <c r="L418" s="204">
        <v>1.4</v>
      </c>
      <c r="M418" s="221">
        <v>160</v>
      </c>
    </row>
    <row r="419" spans="3:13" hidden="1" outlineLevel="1" x14ac:dyDescent="0.25">
      <c r="C419" s="221" t="s">
        <v>334</v>
      </c>
      <c r="D419" s="202">
        <v>88</v>
      </c>
      <c r="E419" s="203">
        <v>2.41</v>
      </c>
      <c r="F419" s="203">
        <v>1.8</v>
      </c>
      <c r="G419" s="203">
        <v>0.42</v>
      </c>
      <c r="H419" s="203">
        <v>0.31</v>
      </c>
      <c r="I419" s="202">
        <v>22</v>
      </c>
      <c r="J419" s="202">
        <v>44</v>
      </c>
      <c r="K419" s="204">
        <v>0.5</v>
      </c>
      <c r="L419" s="204">
        <v>0.8</v>
      </c>
      <c r="M419" s="221">
        <v>159</v>
      </c>
    </row>
    <row r="420" spans="3:13" hidden="1" outlineLevel="1" x14ac:dyDescent="0.25">
      <c r="C420" s="221" t="s">
        <v>416</v>
      </c>
      <c r="D420" s="510">
        <v>15</v>
      </c>
      <c r="E420" s="512">
        <v>0.94</v>
      </c>
      <c r="F420" s="512">
        <v>0.95</v>
      </c>
      <c r="G420" s="512">
        <v>1</v>
      </c>
      <c r="H420" s="512">
        <v>0.98</v>
      </c>
      <c r="I420" s="510">
        <v>75</v>
      </c>
      <c r="J420" s="510">
        <v>87</v>
      </c>
      <c r="K420" s="275">
        <v>2.2000000000000002</v>
      </c>
      <c r="L420" s="275">
        <v>1.9</v>
      </c>
      <c r="M420" s="221">
        <v>164</v>
      </c>
    </row>
    <row r="421" spans="3:13" hidden="1" outlineLevel="1" x14ac:dyDescent="0.25">
      <c r="C421" s="221" t="s">
        <v>419</v>
      </c>
      <c r="D421" s="510">
        <v>13</v>
      </c>
      <c r="E421" s="512">
        <v>0.91</v>
      </c>
      <c r="F421" s="512">
        <v>1.2</v>
      </c>
      <c r="G421" s="512">
        <v>1.1499999999999999</v>
      </c>
      <c r="H421" s="512">
        <v>1.1599999999999999</v>
      </c>
      <c r="I421" s="510">
        <v>62</v>
      </c>
      <c r="J421" s="510">
        <v>86</v>
      </c>
      <c r="K421" s="275">
        <v>1.1000000000000001</v>
      </c>
      <c r="L421" s="275">
        <v>0.5</v>
      </c>
      <c r="M421" s="221">
        <v>155</v>
      </c>
    </row>
    <row r="422" spans="3:13" hidden="1" outlineLevel="1" x14ac:dyDescent="0.25">
      <c r="C422" s="221" t="s">
        <v>413</v>
      </c>
      <c r="D422" s="510">
        <v>13</v>
      </c>
      <c r="E422" s="512">
        <v>0.91</v>
      </c>
      <c r="F422" s="512">
        <v>0.93</v>
      </c>
      <c r="G422" s="512">
        <v>0.91</v>
      </c>
      <c r="H422" s="512">
        <v>0.89</v>
      </c>
      <c r="I422" s="510">
        <v>124</v>
      </c>
      <c r="J422" s="510">
        <v>97</v>
      </c>
      <c r="K422" s="275">
        <v>2.2999999999999998</v>
      </c>
      <c r="L422" s="275">
        <v>4.7</v>
      </c>
      <c r="M422" s="221">
        <v>157</v>
      </c>
    </row>
    <row r="423" spans="3:13" hidden="1" outlineLevel="1" x14ac:dyDescent="0.25">
      <c r="C423" s="221" t="s">
        <v>417</v>
      </c>
      <c r="D423" s="202">
        <v>10</v>
      </c>
      <c r="E423" s="203">
        <v>0.9</v>
      </c>
      <c r="F423" s="203">
        <v>0.7</v>
      </c>
      <c r="G423" s="203">
        <v>1.1200000000000001</v>
      </c>
      <c r="H423" s="203">
        <v>1.1200000000000001</v>
      </c>
      <c r="I423" s="202">
        <v>68</v>
      </c>
      <c r="J423" s="202">
        <v>84</v>
      </c>
      <c r="K423" s="202">
        <v>1.8</v>
      </c>
      <c r="L423" s="202">
        <v>1.1000000000000001</v>
      </c>
      <c r="M423" s="221">
        <v>156</v>
      </c>
    </row>
    <row r="424" spans="3:13" hidden="1" outlineLevel="1" x14ac:dyDescent="0.25">
      <c r="C424" s="221" t="s">
        <v>409</v>
      </c>
      <c r="D424" s="510">
        <v>16</v>
      </c>
      <c r="E424" s="512">
        <v>0.9</v>
      </c>
      <c r="F424" s="512">
        <v>0.9</v>
      </c>
      <c r="G424" s="512">
        <v>1</v>
      </c>
      <c r="H424" s="512">
        <v>0.95</v>
      </c>
      <c r="I424" s="510">
        <v>140</v>
      </c>
      <c r="J424" s="510">
        <v>105</v>
      </c>
      <c r="K424" s="275">
        <v>2.9</v>
      </c>
      <c r="L424" s="275">
        <v>2.2999999999999998</v>
      </c>
      <c r="M424" s="221">
        <v>158</v>
      </c>
    </row>
    <row r="425" spans="3:13" hidden="1" outlineLevel="1" x14ac:dyDescent="0.25">
      <c r="C425" s="221" t="s">
        <v>411</v>
      </c>
      <c r="D425" s="510">
        <v>20</v>
      </c>
      <c r="E425" s="512">
        <v>1.25</v>
      </c>
      <c r="F425" s="512">
        <v>1.2</v>
      </c>
      <c r="G425" s="512">
        <v>0.8</v>
      </c>
      <c r="H425" s="512">
        <v>0.7</v>
      </c>
      <c r="I425" s="510">
        <v>75</v>
      </c>
      <c r="J425" s="510">
        <v>85</v>
      </c>
      <c r="K425" s="275">
        <v>2.5</v>
      </c>
      <c r="L425" s="275">
        <v>2</v>
      </c>
      <c r="M425" s="221">
        <v>162</v>
      </c>
    </row>
    <row r="426" spans="3:13" hidden="1" outlineLevel="1" x14ac:dyDescent="0.25">
      <c r="C426" s="221" t="s">
        <v>410</v>
      </c>
      <c r="D426" s="510">
        <v>17</v>
      </c>
      <c r="E426" s="512">
        <v>0.95</v>
      </c>
      <c r="F426" s="512">
        <v>0.95</v>
      </c>
      <c r="G426" s="512">
        <v>0.95</v>
      </c>
      <c r="H426" s="512">
        <v>0.9</v>
      </c>
      <c r="I426" s="510">
        <v>110</v>
      </c>
      <c r="J426" s="510">
        <v>100</v>
      </c>
      <c r="K426" s="275">
        <v>2.8</v>
      </c>
      <c r="L426" s="275">
        <v>2.1</v>
      </c>
      <c r="M426" s="221">
        <v>161</v>
      </c>
    </row>
    <row r="427" spans="3:13" hidden="1" outlineLevel="1" x14ac:dyDescent="0.25">
      <c r="C427" s="221" t="s">
        <v>412</v>
      </c>
      <c r="D427" s="510">
        <v>19</v>
      </c>
      <c r="E427" s="512">
        <v>1.05</v>
      </c>
      <c r="F427" s="512">
        <v>1.05</v>
      </c>
      <c r="G427" s="512">
        <v>0.85</v>
      </c>
      <c r="H427" s="512">
        <v>0.8</v>
      </c>
      <c r="I427" s="510">
        <v>100</v>
      </c>
      <c r="J427" s="510">
        <v>90</v>
      </c>
      <c r="K427" s="275">
        <v>2.5</v>
      </c>
      <c r="L427" s="275">
        <v>2</v>
      </c>
      <c r="M427" s="510"/>
    </row>
    <row r="428" spans="3:13" hidden="1" outlineLevel="1" x14ac:dyDescent="0.25">
      <c r="C428" s="221" t="s">
        <v>415</v>
      </c>
      <c r="D428" s="510">
        <v>10</v>
      </c>
      <c r="E428" s="512">
        <v>0.83</v>
      </c>
      <c r="F428" s="512">
        <v>0.87</v>
      </c>
      <c r="G428" s="512">
        <v>1.0900000000000001</v>
      </c>
      <c r="H428" s="512">
        <v>1.06</v>
      </c>
      <c r="I428" s="510">
        <v>161</v>
      </c>
      <c r="J428" s="510">
        <v>106</v>
      </c>
      <c r="K428" s="275">
        <v>1.9</v>
      </c>
      <c r="L428" s="275">
        <v>3.9</v>
      </c>
      <c r="M428" s="510"/>
    </row>
    <row r="429" spans="3:13" hidden="1" outlineLevel="1" x14ac:dyDescent="0.25">
      <c r="C429" s="221" t="s">
        <v>414</v>
      </c>
      <c r="D429" s="510">
        <v>19</v>
      </c>
      <c r="E429" s="512">
        <v>0.88</v>
      </c>
      <c r="F429" s="512">
        <v>0.91</v>
      </c>
      <c r="G429" s="512">
        <v>0.89</v>
      </c>
      <c r="H429" s="512">
        <v>0.84</v>
      </c>
      <c r="I429" s="510">
        <v>154</v>
      </c>
      <c r="J429" s="510">
        <v>99</v>
      </c>
      <c r="K429" s="275">
        <v>2.2999999999999998</v>
      </c>
      <c r="L429" s="275">
        <v>3.7</v>
      </c>
      <c r="M429" s="510"/>
    </row>
    <row r="430" spans="3:13" hidden="1" outlineLevel="1" x14ac:dyDescent="0.25">
      <c r="C430" s="474"/>
      <c r="D430" s="478"/>
      <c r="E430" s="476"/>
      <c r="F430" s="475"/>
      <c r="G430" s="476"/>
      <c r="H430" s="475"/>
      <c r="I430" s="475"/>
      <c r="J430" s="475"/>
      <c r="K430" s="477"/>
      <c r="L430" s="477"/>
      <c r="M430" s="474"/>
    </row>
    <row r="431" spans="3:13" hidden="1" outlineLevel="1" x14ac:dyDescent="0.25">
      <c r="C431" s="474"/>
      <c r="D431" s="478"/>
      <c r="E431" s="476"/>
      <c r="F431" s="475"/>
      <c r="G431" s="476"/>
      <c r="H431" s="475"/>
      <c r="I431" s="475"/>
      <c r="J431" s="475"/>
      <c r="K431" s="477"/>
      <c r="L431" s="477"/>
      <c r="M431" s="474"/>
    </row>
    <row r="432" spans="3:13" hidden="1" outlineLevel="1" x14ac:dyDescent="0.25">
      <c r="C432" s="474"/>
      <c r="D432" s="478"/>
      <c r="E432" s="476"/>
      <c r="F432" s="475"/>
      <c r="G432" s="476"/>
      <c r="H432" s="475"/>
      <c r="I432" s="475"/>
      <c r="J432" s="475"/>
      <c r="K432" s="477"/>
      <c r="L432" s="477"/>
      <c r="M432" s="474"/>
    </row>
    <row r="433" spans="3:13" hidden="1" outlineLevel="1" x14ac:dyDescent="0.25">
      <c r="C433" s="652"/>
      <c r="D433" s="653"/>
      <c r="E433" s="654"/>
      <c r="F433" s="655"/>
      <c r="G433" s="654"/>
      <c r="H433" s="655"/>
      <c r="I433" s="655"/>
      <c r="J433" s="655"/>
      <c r="K433" s="656"/>
      <c r="L433" s="656"/>
      <c r="M433" s="652"/>
    </row>
    <row r="434" spans="3:13" hidden="1" outlineLevel="1" x14ac:dyDescent="0.25">
      <c r="C434" s="722"/>
      <c r="D434" s="270" t="s">
        <v>87</v>
      </c>
      <c r="E434" s="270" t="s">
        <v>2</v>
      </c>
      <c r="F434" s="270" t="s">
        <v>253</v>
      </c>
      <c r="G434" s="270" t="s">
        <v>0</v>
      </c>
      <c r="H434" s="270" t="s">
        <v>254</v>
      </c>
      <c r="I434" s="270" t="s">
        <v>82</v>
      </c>
      <c r="J434" s="270" t="s">
        <v>83</v>
      </c>
      <c r="K434" s="270" t="s">
        <v>3</v>
      </c>
      <c r="L434" s="270" t="s">
        <v>4</v>
      </c>
      <c r="M434" s="270"/>
    </row>
    <row r="435" spans="3:13" hidden="1" outlineLevel="1" x14ac:dyDescent="0.25"/>
    <row r="436" spans="3:13" hidden="1" outlineLevel="1" x14ac:dyDescent="0.25"/>
    <row r="437" spans="3:13" hidden="1" outlineLevel="1" x14ac:dyDescent="0.25"/>
    <row r="438" spans="3:13" collapsed="1" x14ac:dyDescent="0.25"/>
  </sheetData>
  <protectedRanges>
    <protectedRange sqref="C23:C29 C9:C15" name="Plage2"/>
    <protectedRange sqref="L24:L25" name="Plage1"/>
  </protectedRanges>
  <sortState ref="C260:M429">
    <sortCondition ref="C260:C429"/>
  </sortState>
  <mergeCells count="40">
    <mergeCell ref="B5:M5"/>
    <mergeCell ref="Q12:Q13"/>
    <mergeCell ref="O12:P13"/>
    <mergeCell ref="B1:R1"/>
    <mergeCell ref="O9:P10"/>
    <mergeCell ref="O11:P11"/>
    <mergeCell ref="O7:R8"/>
    <mergeCell ref="E6:J8"/>
    <mergeCell ref="E9:J11"/>
    <mergeCell ref="B8:D8"/>
    <mergeCell ref="B6:D6"/>
    <mergeCell ref="K6:M8"/>
    <mergeCell ref="O21:R22"/>
    <mergeCell ref="P25:R26"/>
    <mergeCell ref="H4:R4"/>
    <mergeCell ref="B2:R2"/>
    <mergeCell ref="E23:J25"/>
    <mergeCell ref="J14:K14"/>
    <mergeCell ref="J15:K15"/>
    <mergeCell ref="K21:M23"/>
    <mergeCell ref="E20:J22"/>
    <mergeCell ref="L24:L25"/>
    <mergeCell ref="B21:D22"/>
    <mergeCell ref="Q14:Q15"/>
    <mergeCell ref="Q10:R11"/>
    <mergeCell ref="O14:P16"/>
    <mergeCell ref="E13:L13"/>
    <mergeCell ref="L10:L11"/>
    <mergeCell ref="O27:P27"/>
    <mergeCell ref="Q27:R27"/>
    <mergeCell ref="B33:E34"/>
    <mergeCell ref="O28:R30"/>
    <mergeCell ref="Q23:R23"/>
    <mergeCell ref="O23:P23"/>
    <mergeCell ref="J34:K34"/>
    <mergeCell ref="G33:H33"/>
    <mergeCell ref="J33:L33"/>
    <mergeCell ref="J29:K29"/>
    <mergeCell ref="J28:K28"/>
    <mergeCell ref="E27:L27"/>
  </mergeCells>
  <conditionalFormatting sqref="O7">
    <cfRule type="iconSet" priority="2">
      <iconSet iconSet="3TrafficLights2">
        <cfvo type="percent" val="0"/>
        <cfvo type="percent" val="33"/>
        <cfvo type="percent" val="67"/>
      </iconSet>
    </cfRule>
  </conditionalFormatting>
  <dataValidations count="8">
    <dataValidation type="list" allowBlank="1" showInputMessage="1" showErrorMessage="1" sqref="C25">
      <formula1>$J$57:$J$63</formula1>
    </dataValidation>
    <dataValidation type="list" allowBlank="1" showInputMessage="1" showErrorMessage="1" sqref="C27">
      <formula1>$C$68:$C$72</formula1>
    </dataValidation>
    <dataValidation type="list" allowBlank="1" showInputMessage="1" showErrorMessage="1" sqref="C23">
      <formula1>$C$60:$C$64</formula1>
    </dataValidation>
    <dataValidation type="list" allowBlank="1" showInputMessage="1" showErrorMessage="1" sqref="C15">
      <formula1>$E$42:$E$47</formula1>
    </dataValidation>
    <dataValidation type="list" allowBlank="1" showInputMessage="1" showErrorMessage="1" sqref="C9">
      <formula1>$C$43:$C$47</formula1>
    </dataValidation>
    <dataValidation type="list" allowBlank="1" showInputMessage="1" showErrorMessage="1" sqref="C11">
      <formula1>$J$40:$J$46</formula1>
    </dataValidation>
    <dataValidation type="list" allowBlank="1" showInputMessage="1" showErrorMessage="1" sqref="C13">
      <formula1>$C$51:$C$55</formula1>
    </dataValidation>
    <dataValidation type="list" allowBlank="1" showInputMessage="1" showErrorMessage="1" sqref="C29">
      <formula1>$E$59:$E$64</formula1>
    </dataValidation>
  </dataValidations>
  <pageMargins left="0.19685039370078741" right="0.19685039370078741" top="0.19685039370078741" bottom="0.19685039370078741" header="0.31496062992125984" footer="0.31496062992125984"/>
  <pageSetup paperSize="9" scale="7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60" r:id="rId4" name="Option Button 4">
              <controlPr defaultSize="0" autoFill="0" autoLine="0" autoPict="0">
                <anchor moveWithCells="1">
                  <from>
                    <xdr:col>1</xdr:col>
                    <xdr:colOff>809625</xdr:colOff>
                    <xdr:row>4</xdr:row>
                    <xdr:rowOff>200025</xdr:rowOff>
                  </from>
                  <to>
                    <xdr:col>2</xdr:col>
                    <xdr:colOff>200025</xdr:colOff>
                    <xdr:row>4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3" r:id="rId5" name="Option Button 7">
              <controlPr defaultSize="0" autoFill="0" autoLine="0" autoPict="0">
                <anchor moveWithCells="1">
                  <from>
                    <xdr:col>5</xdr:col>
                    <xdr:colOff>323850</xdr:colOff>
                    <xdr:row>4</xdr:row>
                    <xdr:rowOff>200025</xdr:rowOff>
                  </from>
                  <to>
                    <xdr:col>5</xdr:col>
                    <xdr:colOff>619125</xdr:colOff>
                    <xdr:row>4</xdr:row>
                    <xdr:rowOff>495300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B61DF7E-62FC-4878-995D-1E472B0BE3DF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3TrafficLights2" iconId="1"/>
              <x14:cfIcon iconSet="3TrafficLights2" iconId="2"/>
              <x14:cfIcon iconSet="3TrafficLights2" iconId="0"/>
            </x14:iconSet>
          </x14:cfRule>
          <xm:sqref>O11:P11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Y83"/>
  <sheetViews>
    <sheetView showGridLines="0" showRowColHeaders="0" topLeftCell="A10" zoomScaleNormal="100" workbookViewId="0">
      <selection activeCell="C8" sqref="C8"/>
    </sheetView>
  </sheetViews>
  <sheetFormatPr defaultColWidth="11.42578125" defaultRowHeight="15" outlineLevelRow="1" x14ac:dyDescent="0.25"/>
  <cols>
    <col min="1" max="1" width="2.7109375" style="3" customWidth="1"/>
    <col min="3" max="3" width="26.140625" customWidth="1"/>
    <col min="4" max="4" width="3.28515625" customWidth="1"/>
    <col min="10" max="10" width="3.28515625" customWidth="1"/>
    <col min="11" max="11" width="10.85546875" customWidth="1"/>
    <col min="12" max="12" width="3.42578125" customWidth="1"/>
    <col min="13" max="13" width="2.7109375" customWidth="1"/>
    <col min="14" max="14" width="16.7109375" customWidth="1"/>
    <col min="15" max="15" width="7.42578125" customWidth="1"/>
    <col min="16" max="16" width="4.85546875" customWidth="1"/>
    <col min="17" max="17" width="10.140625" customWidth="1"/>
    <col min="18" max="18" width="2.7109375" customWidth="1"/>
  </cols>
  <sheetData>
    <row r="1" spans="1:25" ht="60" customHeight="1" thickBot="1" x14ac:dyDescent="0.3">
      <c r="A1" s="10"/>
      <c r="B1" s="1080" t="s">
        <v>1275</v>
      </c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  <c r="Q1" s="1080"/>
      <c r="R1" s="497"/>
    </row>
    <row r="2" spans="1:25" ht="26.25" customHeight="1" thickBot="1" x14ac:dyDescent="0.3">
      <c r="A2" s="10"/>
      <c r="B2" s="1076" t="s">
        <v>869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8"/>
      <c r="R2" s="497"/>
    </row>
    <row r="3" spans="1:25" s="216" customFormat="1" ht="12" customHeight="1" x14ac:dyDescent="0.25">
      <c r="A3" s="126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126"/>
      <c r="M3" s="126"/>
      <c r="N3" s="497"/>
      <c r="O3" s="497"/>
      <c r="P3" s="497"/>
      <c r="Q3" s="497"/>
      <c r="R3" s="497"/>
    </row>
    <row r="4" spans="1:25" s="3" customFormat="1" ht="26.25" customHeight="1" x14ac:dyDescent="0.25">
      <c r="A4" s="10"/>
      <c r="B4" s="31"/>
      <c r="C4" s="30"/>
      <c r="D4" s="30"/>
      <c r="E4" s="30"/>
      <c r="F4" s="30"/>
      <c r="G4" s="30"/>
      <c r="H4" s="30"/>
      <c r="I4" s="1086" t="s">
        <v>759</v>
      </c>
      <c r="J4" s="1086"/>
      <c r="K4" s="1086"/>
      <c r="L4" s="1086"/>
      <c r="M4" s="1086"/>
      <c r="N4" s="1086"/>
      <c r="O4" s="1086"/>
      <c r="P4" s="1086"/>
      <c r="Q4" s="1087"/>
      <c r="R4" s="497"/>
    </row>
    <row r="5" spans="1:25" ht="31.5" customHeight="1" x14ac:dyDescent="0.25">
      <c r="A5" s="10"/>
      <c r="B5" s="4"/>
      <c r="C5" s="4"/>
      <c r="D5" s="4"/>
      <c r="E5" s="6"/>
      <c r="F5" s="6"/>
      <c r="G5" s="6"/>
      <c r="H5" s="6"/>
      <c r="I5" s="4"/>
      <c r="J5" s="1172" t="s">
        <v>127</v>
      </c>
      <c r="K5" s="1172"/>
      <c r="L5" s="1172"/>
      <c r="M5" s="123"/>
      <c r="N5" s="497"/>
      <c r="O5" s="497"/>
      <c r="P5" s="497"/>
      <c r="Q5" s="497"/>
      <c r="R5" s="497"/>
    </row>
    <row r="6" spans="1:25" ht="31.5" customHeight="1" x14ac:dyDescent="0.4">
      <c r="A6" s="10"/>
      <c r="B6" s="1168" t="s">
        <v>45</v>
      </c>
      <c r="C6" s="1169"/>
      <c r="D6" s="1169"/>
      <c r="E6" s="1174" t="s">
        <v>75</v>
      </c>
      <c r="F6" s="1174"/>
      <c r="G6" s="1174"/>
      <c r="H6" s="1174"/>
      <c r="I6" s="1174"/>
      <c r="J6" s="1172"/>
      <c r="K6" s="1172"/>
      <c r="L6" s="1172"/>
      <c r="M6" s="114"/>
      <c r="N6" s="1108" t="s">
        <v>1217</v>
      </c>
      <c r="O6" s="1109"/>
      <c r="P6" s="1109"/>
      <c r="Q6" s="1110"/>
      <c r="R6" s="497"/>
      <c r="S6" s="833"/>
      <c r="T6" s="833"/>
      <c r="U6" s="838"/>
      <c r="V6" s="838"/>
      <c r="W6" s="838"/>
      <c r="X6" s="838"/>
      <c r="Y6" s="838"/>
    </row>
    <row r="7" spans="1:25" s="122" customFormat="1" ht="12" customHeight="1" x14ac:dyDescent="0.25">
      <c r="A7" s="126"/>
      <c r="B7" s="116"/>
      <c r="C7" s="141"/>
      <c r="D7" s="141"/>
      <c r="E7" s="1175"/>
      <c r="F7" s="1175"/>
      <c r="G7" s="1175"/>
      <c r="H7" s="1175"/>
      <c r="I7" s="1175"/>
      <c r="J7" s="1172"/>
      <c r="K7" s="1172"/>
      <c r="L7" s="1172"/>
      <c r="M7" s="114"/>
      <c r="N7" s="1180" t="str">
        <f>IF(K9="","",C10)</f>
        <v/>
      </c>
      <c r="O7" s="1140" t="str">
        <f>IF(K16="","",C17)</f>
        <v/>
      </c>
      <c r="P7" s="1140"/>
      <c r="Q7" s="1141"/>
      <c r="R7" s="497"/>
      <c r="S7" s="833"/>
      <c r="T7" s="834" t="e">
        <f>K16/(K9+K16)</f>
        <v>#DIV/0!</v>
      </c>
      <c r="U7" s="838"/>
      <c r="V7" s="838"/>
      <c r="W7" s="838"/>
      <c r="X7" s="838"/>
      <c r="Y7" s="838"/>
    </row>
    <row r="8" spans="1:25" ht="27" customHeight="1" thickBot="1" x14ac:dyDescent="0.3">
      <c r="A8" s="10"/>
      <c r="B8" s="20" t="s">
        <v>46</v>
      </c>
      <c r="C8" s="40"/>
      <c r="D8" s="4"/>
      <c r="E8" s="1115" t="s">
        <v>47</v>
      </c>
      <c r="F8" s="1115"/>
      <c r="G8" s="1115"/>
      <c r="H8" s="1115"/>
      <c r="I8" s="1115"/>
      <c r="J8" s="4"/>
      <c r="K8" s="17"/>
      <c r="L8" s="21"/>
      <c r="M8" s="10"/>
      <c r="N8" s="1180"/>
      <c r="O8" s="1140"/>
      <c r="P8" s="1140"/>
      <c r="Q8" s="1141"/>
      <c r="R8" s="497"/>
      <c r="S8" s="833"/>
      <c r="T8" s="834" t="e">
        <f>K9/(K9+K16)</f>
        <v>#DIV/0!</v>
      </c>
      <c r="U8" s="838"/>
      <c r="V8" s="838"/>
      <c r="W8" s="838"/>
      <c r="X8" s="838"/>
      <c r="Y8" s="838"/>
    </row>
    <row r="9" spans="1:25" ht="18.75" customHeight="1" x14ac:dyDescent="0.35">
      <c r="A9" s="10"/>
      <c r="B9" s="20"/>
      <c r="C9" s="4"/>
      <c r="D9" s="4"/>
      <c r="E9" s="7" t="s">
        <v>48</v>
      </c>
      <c r="F9" s="7" t="s">
        <v>42</v>
      </c>
      <c r="G9" s="7" t="s">
        <v>43</v>
      </c>
      <c r="H9" s="7" t="s">
        <v>49</v>
      </c>
      <c r="I9" s="7" t="s">
        <v>50</v>
      </c>
      <c r="J9" s="4"/>
      <c r="K9" s="1176"/>
      <c r="L9" s="294"/>
      <c r="M9" s="124"/>
      <c r="N9" s="879"/>
      <c r="O9" s="526"/>
      <c r="P9" s="526"/>
      <c r="Q9" s="500"/>
      <c r="R9" s="497"/>
      <c r="S9" s="834">
        <f>IF(C8="",0,IF(K16="",1,(K9*E10)/((K9*E10)+(E17*K16))))</f>
        <v>0</v>
      </c>
      <c r="T9" s="834">
        <f>IF(C8="",0,IF(K16="",1,(K9*F10)/((K9*F10)+(F17*K16))))</f>
        <v>0</v>
      </c>
      <c r="U9" s="838"/>
      <c r="V9" s="838"/>
      <c r="W9" s="838"/>
      <c r="X9" s="838"/>
      <c r="Y9" s="838"/>
    </row>
    <row r="10" spans="1:25" ht="27" customHeight="1" thickBot="1" x14ac:dyDescent="0.3">
      <c r="A10" s="10"/>
      <c r="B10" s="20" t="s">
        <v>38</v>
      </c>
      <c r="C10" s="41"/>
      <c r="D10" s="4"/>
      <c r="E10" s="212" t="str">
        <f>IF(C8="Mélange fermier",COUT!F23,IF(C8="","",IF($C$8="Mon concentré",VLOOKUP($C$10,NOUVEAU!R22:AA35,3),VLOOKUP($C$10,$C$42:$I$79,3))))</f>
        <v/>
      </c>
      <c r="F10" s="297" t="str">
        <f>IF(C8="Mélange fermier",COUT!H23,IF(C8="","",IF($C$8="Mon concentré",VLOOKUP($C$10,NOUVEAU!R22:AA35,5),VLOOKUP($C$10,$C$42:$I$79,4))))</f>
        <v/>
      </c>
      <c r="G10" s="297" t="str">
        <f>IF(C8="Mélange fermier",COUT!I23,IF(C8="","",IF($C$8="Mon concentré",VLOOKUP($C$10,NOUVEAU!R22:AA35,6),VLOOKUP($C$10,$C$42:$I$79,5))))</f>
        <v/>
      </c>
      <c r="H10" s="296" t="str">
        <f>IF(C8="Mélange fermier",COUT!J23,IF(C8="","",IF($C$8="Mon concentré",VLOOKUP($C$10,NOUVEAU!R22:AA35,7),VLOOKUP($C$10,$C$42:$I$79,6))))</f>
        <v/>
      </c>
      <c r="I10" s="296" t="str">
        <f>IF(C8="Mélange fermier",COUT!K23,IF(C8="","",IF($C$8="Mon concentré",VLOOKUP($C$10,NOUVEAU!R22:AA35,8),VLOOKUP($C$10,$C$42:$I$79,7))))</f>
        <v/>
      </c>
      <c r="J10" s="4"/>
      <c r="K10" s="1177"/>
      <c r="L10" s="294"/>
      <c r="M10" s="124"/>
      <c r="N10" s="879"/>
      <c r="O10" s="526"/>
      <c r="P10" s="526"/>
      <c r="Q10" s="500"/>
      <c r="R10" s="497"/>
      <c r="S10" s="834">
        <f>IF(C15="",0,IF(K9="",1,(K16*E17)/((K16*E17)+(K9*E10))))</f>
        <v>0</v>
      </c>
      <c r="T10" s="834">
        <f>IF(C15="",0,IF(K9="",1,(K16*F17)/((K16*F17)+(K9*F10))))</f>
        <v>0</v>
      </c>
      <c r="U10" s="838"/>
      <c r="V10" s="838"/>
      <c r="W10" s="838"/>
      <c r="X10" s="838"/>
      <c r="Y10" s="838"/>
    </row>
    <row r="11" spans="1:25" s="9" customFormat="1" ht="21" x14ac:dyDescent="0.35">
      <c r="A11" s="10"/>
      <c r="B11" s="22"/>
      <c r="C11" s="23"/>
      <c r="D11" s="23"/>
      <c r="E11" s="23"/>
      <c r="F11" s="23"/>
      <c r="G11" s="23"/>
      <c r="H11" s="23"/>
      <c r="I11" s="23"/>
      <c r="J11" s="23"/>
      <c r="K11" s="24"/>
      <c r="L11" s="25"/>
      <c r="M11" s="10"/>
      <c r="N11" s="527"/>
      <c r="O11" s="881" t="s">
        <v>0</v>
      </c>
      <c r="P11" s="526"/>
      <c r="Q11" s="880" t="s">
        <v>82</v>
      </c>
      <c r="R11" s="497"/>
      <c r="S11" s="851"/>
      <c r="T11" s="851"/>
      <c r="U11" s="430"/>
      <c r="V11" s="430"/>
      <c r="W11" s="430"/>
      <c r="X11" s="430"/>
      <c r="Y11" s="430"/>
    </row>
    <row r="12" spans="1:25" s="9" customFormat="1" ht="15" customHeight="1" x14ac:dyDescent="0.25">
      <c r="A12" s="10"/>
      <c r="B12" s="11"/>
      <c r="C12" s="4"/>
      <c r="D12" s="4"/>
      <c r="E12" s="4"/>
      <c r="F12" s="4"/>
      <c r="G12" s="4"/>
      <c r="H12" s="4"/>
      <c r="I12" s="4"/>
      <c r="J12" s="123"/>
      <c r="K12" s="117"/>
      <c r="L12" s="123"/>
      <c r="M12" s="10"/>
      <c r="N12" s="527"/>
      <c r="O12" s="526"/>
      <c r="P12" s="526"/>
      <c r="Q12" s="500"/>
      <c r="R12" s="497"/>
      <c r="S12" s="430"/>
      <c r="T12" s="430"/>
      <c r="U12" s="430"/>
      <c r="V12" s="430"/>
      <c r="W12" s="430"/>
      <c r="X12" s="430"/>
      <c r="Y12" s="430"/>
    </row>
    <row r="13" spans="1:25" s="9" customFormat="1" ht="31.5" customHeight="1" x14ac:dyDescent="0.4">
      <c r="A13" s="10"/>
      <c r="B13" s="1173" t="s">
        <v>101</v>
      </c>
      <c r="C13" s="1169"/>
      <c r="D13" s="1169"/>
      <c r="E13" s="1174" t="s">
        <v>76</v>
      </c>
      <c r="F13" s="1174"/>
      <c r="G13" s="1174"/>
      <c r="H13" s="1174"/>
      <c r="I13" s="1174"/>
      <c r="J13" s="18"/>
      <c r="K13" s="17"/>
      <c r="L13" s="19"/>
      <c r="M13" s="10"/>
      <c r="N13" s="882" t="str">
        <f>IF(K9="","","Concentré 1")</f>
        <v/>
      </c>
      <c r="O13" s="526"/>
      <c r="P13" s="526"/>
      <c r="Q13" s="500"/>
      <c r="R13" s="497"/>
      <c r="S13" s="430"/>
      <c r="T13" s="430"/>
      <c r="U13" s="430"/>
      <c r="V13" s="430"/>
      <c r="W13" s="430"/>
      <c r="X13" s="430"/>
      <c r="Y13" s="430"/>
    </row>
    <row r="14" spans="1:25" s="125" customFormat="1" ht="11.25" customHeight="1" x14ac:dyDescent="0.25">
      <c r="A14" s="126"/>
      <c r="B14" s="154"/>
      <c r="C14" s="141"/>
      <c r="D14" s="141"/>
      <c r="E14" s="1175"/>
      <c r="F14" s="1175"/>
      <c r="G14" s="1175"/>
      <c r="H14" s="1175"/>
      <c r="I14" s="1175"/>
      <c r="J14" s="123"/>
      <c r="K14" s="17"/>
      <c r="L14" s="21"/>
      <c r="M14" s="126"/>
      <c r="N14" s="1178" t="str">
        <f>IF(K9="","",C10)</f>
        <v/>
      </c>
      <c r="O14" s="526"/>
      <c r="P14" s="526"/>
      <c r="Q14" s="500"/>
      <c r="R14" s="497"/>
      <c r="S14" s="430"/>
      <c r="T14" s="430"/>
      <c r="U14" s="430"/>
      <c r="V14" s="430"/>
      <c r="W14" s="430"/>
      <c r="X14" s="430"/>
      <c r="Y14" s="430"/>
    </row>
    <row r="15" spans="1:25" s="9" customFormat="1" ht="27" customHeight="1" thickBot="1" x14ac:dyDescent="0.3">
      <c r="A15" s="10"/>
      <c r="B15" s="20" t="s">
        <v>46</v>
      </c>
      <c r="C15" s="40"/>
      <c r="D15" s="4"/>
      <c r="E15" s="1115" t="s">
        <v>47</v>
      </c>
      <c r="F15" s="1115"/>
      <c r="G15" s="1115"/>
      <c r="H15" s="1115"/>
      <c r="I15" s="1115"/>
      <c r="J15" s="4"/>
      <c r="K15" s="17"/>
      <c r="L15" s="21"/>
      <c r="M15" s="10"/>
      <c r="N15" s="1178"/>
      <c r="O15" s="526"/>
      <c r="P15" s="526"/>
      <c r="Q15" s="500"/>
      <c r="R15" s="497"/>
      <c r="S15" s="430"/>
      <c r="T15" s="430"/>
      <c r="U15" s="430"/>
      <c r="V15" s="430"/>
      <c r="W15" s="430"/>
      <c r="X15" s="430"/>
      <c r="Y15" s="430"/>
    </row>
    <row r="16" spans="1:25" s="9" customFormat="1" ht="18.75" customHeight="1" x14ac:dyDescent="0.35">
      <c r="A16" s="10"/>
      <c r="B16" s="20"/>
      <c r="C16" s="4"/>
      <c r="D16" s="4"/>
      <c r="E16" s="7" t="s">
        <v>48</v>
      </c>
      <c r="F16" s="7" t="s">
        <v>42</v>
      </c>
      <c r="G16" s="7" t="s">
        <v>43</v>
      </c>
      <c r="H16" s="7" t="s">
        <v>49</v>
      </c>
      <c r="I16" s="7" t="s">
        <v>50</v>
      </c>
      <c r="J16" s="4"/>
      <c r="K16" s="1176"/>
      <c r="L16" s="21"/>
      <c r="M16" s="10"/>
      <c r="N16" s="883" t="str">
        <f>IF(K16="","","Concentré 2")</f>
        <v/>
      </c>
      <c r="O16" s="526"/>
      <c r="P16" s="526"/>
      <c r="Q16" s="500"/>
      <c r="R16" s="497"/>
      <c r="S16" s="430"/>
      <c r="T16" s="430"/>
      <c r="U16" s="430"/>
      <c r="V16" s="430"/>
      <c r="W16" s="430"/>
      <c r="X16" s="430"/>
      <c r="Y16" s="430"/>
    </row>
    <row r="17" spans="1:25" s="9" customFormat="1" ht="27" customHeight="1" thickBot="1" x14ac:dyDescent="0.3">
      <c r="A17" s="10"/>
      <c r="B17" s="20" t="s">
        <v>38</v>
      </c>
      <c r="C17" s="41"/>
      <c r="D17" s="4"/>
      <c r="E17" s="212" t="str">
        <f>IF(C15="Mélange fermier",COUT!F23,IF(C15="","",IF($C$15="Mon concentré",VLOOKUP($C$17,NOUVEAU!R22:AA45,3),VLOOKUP($C$17,$C$42:$I$79,3))))</f>
        <v/>
      </c>
      <c r="F17" s="297" t="str">
        <f>IF(C15="Mélange fermier",COUT!H23,IF(C15="","",IF($C$15="Mon concentré",VLOOKUP($C$17,NOUVEAU!R22:AA45,5),VLOOKUP($C$17,$C$42:$I$79,4))))</f>
        <v/>
      </c>
      <c r="G17" s="297" t="str">
        <f>IF(C15="Mélange fermier",COUT!I23,IF(C15="","",IF($C$15="Mon concentré",VLOOKUP($C$17,NOUVEAU!R22:AA45,6),VLOOKUP($C$17,$C$42:$I$79,5))))</f>
        <v/>
      </c>
      <c r="H17" s="211" t="str">
        <f>IF(C15="Mélange fermier",COUT!J23,IF(C15="","",IF($C$15="Mon concentré",VLOOKUP($C$17,NOUVEAU!R22:AA45,7),VLOOKUP($C$17,$C$42:$I$79,6))))</f>
        <v/>
      </c>
      <c r="I17" s="211" t="str">
        <f>IF(C15="Mélange fermier",COUT!K23,IF(C15="","",IF($C$15="Mon concentré",VLOOKUP($C$17,NOUVEAU!R22:AA45,8),VLOOKUP($C$17,$C$42:$I$79,7))))</f>
        <v/>
      </c>
      <c r="J17" s="4"/>
      <c r="K17" s="1177"/>
      <c r="L17" s="21"/>
      <c r="M17" s="10"/>
      <c r="N17" s="1178" t="str">
        <f>IF(K16="","",C17)</f>
        <v/>
      </c>
      <c r="O17" s="526"/>
      <c r="P17" s="526"/>
      <c r="Q17" s="500"/>
      <c r="R17" s="497"/>
      <c r="S17" s="430"/>
      <c r="T17" s="430"/>
      <c r="U17" s="430"/>
      <c r="V17" s="430"/>
      <c r="W17" s="430"/>
      <c r="X17" s="430"/>
      <c r="Y17" s="430"/>
    </row>
    <row r="18" spans="1:25" s="9" customFormat="1" x14ac:dyDescent="0.25">
      <c r="A18" s="10"/>
      <c r="B18" s="22"/>
      <c r="C18" s="23"/>
      <c r="D18" s="23"/>
      <c r="E18" s="23"/>
      <c r="F18" s="23"/>
      <c r="G18" s="23"/>
      <c r="H18" s="23"/>
      <c r="I18" s="23"/>
      <c r="J18" s="23"/>
      <c r="K18" s="24"/>
      <c r="L18" s="25"/>
      <c r="M18" s="10"/>
      <c r="N18" s="1179"/>
      <c r="O18" s="501"/>
      <c r="P18" s="501"/>
      <c r="Q18" s="502"/>
      <c r="R18" s="497"/>
    </row>
    <row r="19" spans="1:25" s="9" customFormat="1" x14ac:dyDescent="0.25">
      <c r="A19" s="10"/>
      <c r="B19" s="11"/>
      <c r="C19" s="4"/>
      <c r="D19" s="4"/>
      <c r="E19" s="4"/>
      <c r="F19" s="4"/>
      <c r="G19" s="4"/>
      <c r="H19" s="4"/>
      <c r="I19" s="4"/>
      <c r="J19" s="4"/>
      <c r="K19" s="16"/>
      <c r="L19" s="10"/>
      <c r="M19" s="10"/>
      <c r="N19" s="497"/>
      <c r="O19" s="497"/>
      <c r="P19" s="497"/>
      <c r="Q19" s="497"/>
      <c r="R19" s="497"/>
    </row>
    <row r="20" spans="1:25" ht="15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L20" s="2"/>
    </row>
    <row r="21" spans="1:25" hidden="1" outlineLevel="1" x14ac:dyDescent="0.25">
      <c r="B21" s="2"/>
      <c r="C21" s="2"/>
      <c r="D21" s="2"/>
      <c r="E21" s="2"/>
      <c r="F21" s="2"/>
      <c r="G21" s="2"/>
      <c r="H21" s="2"/>
      <c r="I21" s="2"/>
      <c r="J21" s="2"/>
      <c r="K21" s="15"/>
      <c r="L21" s="2"/>
    </row>
    <row r="22" spans="1:25" hidden="1" outlineLevel="1" x14ac:dyDescent="0.25">
      <c r="B22" s="3"/>
      <c r="C22" s="3"/>
      <c r="D22" s="3"/>
      <c r="E22" s="194" t="str">
        <f>IF($C$8="Mélange fermier","Mélange fermier",IF($C$8="Céréale",F22,IF($C$8="Tourteau",G22,IF($C$8="Divers",K22,IF($C$8="Mon concentré",NOUVEAU!R22,I22)))))</f>
        <v>Pois</v>
      </c>
      <c r="F22" s="3" t="s">
        <v>51</v>
      </c>
      <c r="G22" s="3" t="s">
        <v>52</v>
      </c>
      <c r="H22" s="3"/>
      <c r="I22" s="3" t="s">
        <v>53</v>
      </c>
      <c r="J22" s="3"/>
      <c r="K22" s="207" t="s">
        <v>904</v>
      </c>
      <c r="L22" s="3"/>
    </row>
    <row r="23" spans="1:25" hidden="1" outlineLevel="1" x14ac:dyDescent="0.25">
      <c r="B23" s="3"/>
      <c r="C23" s="3" t="s">
        <v>40</v>
      </c>
      <c r="D23" s="3"/>
      <c r="E23" s="216" t="str">
        <f>IF($C$8="Mélange fermier","",IF($C$8="Céréale",F23,IF($C$8="Tourteau",G23,IF($C$8="Divers",K23,IF($C$8="Mon concentré",NOUVEAU!R23,I23)))))</f>
        <v>Lupin</v>
      </c>
      <c r="F23" s="3" t="s">
        <v>54</v>
      </c>
      <c r="G23" s="3" t="s">
        <v>55</v>
      </c>
      <c r="H23" s="3"/>
      <c r="I23" s="3" t="s">
        <v>56</v>
      </c>
      <c r="J23" s="3"/>
      <c r="K23" s="207" t="s">
        <v>249</v>
      </c>
      <c r="L23" s="3"/>
    </row>
    <row r="24" spans="1:25" hidden="1" outlineLevel="1" x14ac:dyDescent="0.25">
      <c r="B24" s="3"/>
      <c r="C24" s="3" t="s">
        <v>57</v>
      </c>
      <c r="D24" s="3"/>
      <c r="E24" s="216" t="str">
        <f>IF($C$8="Mélange fermier","",IF($C$8="Céréale",F24,IF($C$8="Tourteau",G24,IF($C$8="Divers",K24,IF($C$8="Mon concentré",NOUVEAU!R24,I24)))))</f>
        <v>Féverole</v>
      </c>
      <c r="F24" s="3" t="s">
        <v>58</v>
      </c>
      <c r="G24" s="3" t="s">
        <v>59</v>
      </c>
      <c r="H24" s="3"/>
      <c r="I24" s="3" t="s">
        <v>60</v>
      </c>
      <c r="J24" s="3"/>
      <c r="K24" s="209" t="s">
        <v>903</v>
      </c>
      <c r="L24" s="3"/>
    </row>
    <row r="25" spans="1:25" hidden="1" outlineLevel="1" x14ac:dyDescent="0.25">
      <c r="B25" s="3"/>
      <c r="C25" s="3" t="s">
        <v>61</v>
      </c>
      <c r="D25" s="3"/>
      <c r="E25" s="216" t="str">
        <f>IF($C$8="Mélange fermier","",IF($C$8="Céréale",F25,IF($C$8="Tourteau",G25,IF($C$8="Divers",K25,IF($C$8="Mon concentré",NOUVEAU!R25,I25)))))</f>
        <v>Vesce</v>
      </c>
      <c r="F25" s="3" t="s">
        <v>62</v>
      </c>
      <c r="G25" s="3" t="s">
        <v>63</v>
      </c>
      <c r="H25" s="3"/>
      <c r="I25" s="3" t="s">
        <v>64</v>
      </c>
      <c r="J25" s="3"/>
      <c r="K25" s="210" t="s">
        <v>250</v>
      </c>
      <c r="L25" s="3"/>
    </row>
    <row r="26" spans="1:25" hidden="1" outlineLevel="1" x14ac:dyDescent="0.25">
      <c r="B26" s="3"/>
      <c r="C26" s="3" t="s">
        <v>65</v>
      </c>
      <c r="D26" s="3"/>
      <c r="E26" s="216" t="str">
        <f>IF($C$8="Mélange fermier","",IF($C$8="Céréale",F26,IF($C$8="Tourteau",G26,IF($C$8="Divers",K26,IF($C$8="Mon concentré",NOUVEAU!R26,I26)))))</f>
        <v>Soja extrudé</v>
      </c>
      <c r="F26" s="3" t="s">
        <v>66</v>
      </c>
      <c r="G26" s="3" t="s">
        <v>67</v>
      </c>
      <c r="H26" s="3"/>
      <c r="I26" s="783" t="s">
        <v>1163</v>
      </c>
      <c r="J26" s="3"/>
      <c r="K26" s="210" t="s">
        <v>119</v>
      </c>
      <c r="L26" s="3"/>
    </row>
    <row r="27" spans="1:25" hidden="1" outlineLevel="1" x14ac:dyDescent="0.25">
      <c r="B27" s="3"/>
      <c r="C27" s="216" t="s">
        <v>426</v>
      </c>
      <c r="D27" s="3"/>
      <c r="E27" s="216" t="str">
        <f>IF($C$8="Mélange fermier","",IF($C$8="Céréale",F27,IF($C$8="Tourteau",G27,IF($C$8="Divers",K27,IF($C$8="Mon concentré",NOUVEAU!R27,I27)))))</f>
        <v xml:space="preserve"> </v>
      </c>
      <c r="F27" s="3" t="s">
        <v>68</v>
      </c>
      <c r="G27" s="783" t="s">
        <v>1162</v>
      </c>
      <c r="H27" s="3"/>
      <c r="I27" s="3" t="s">
        <v>41</v>
      </c>
      <c r="J27" s="3"/>
      <c r="K27" s="210" t="s">
        <v>146</v>
      </c>
      <c r="L27" s="3"/>
    </row>
    <row r="28" spans="1:25" hidden="1" outlineLevel="1" x14ac:dyDescent="0.25">
      <c r="B28" s="3"/>
      <c r="C28" s="3" t="s">
        <v>992</v>
      </c>
      <c r="D28" s="3"/>
      <c r="E28" s="216" t="str">
        <f>IF($C$8="Mélange fermier","",IF($C$8="Céréale",F28,IF($C$8="Tourteau",G28,IF($C$8="Divers",K28,IF($C$8="Mon concentré",NOUVEAU!R28,I28)))))</f>
        <v xml:space="preserve"> </v>
      </c>
      <c r="F28" s="3" t="s">
        <v>69</v>
      </c>
      <c r="G28" s="783" t="s">
        <v>1159</v>
      </c>
      <c r="H28" s="3"/>
      <c r="I28" s="3" t="s">
        <v>41</v>
      </c>
      <c r="J28" s="3"/>
      <c r="K28" s="210" t="s">
        <v>251</v>
      </c>
      <c r="L28" s="3"/>
    </row>
    <row r="29" spans="1:25" hidden="1" outlineLevel="1" x14ac:dyDescent="0.25">
      <c r="B29" s="3"/>
      <c r="C29" s="3"/>
      <c r="D29" s="3"/>
      <c r="E29" s="216" t="str">
        <f>IF($C$8="Mélange fermier","",IF($C$8="Céréale",F29,IF($C$8="Tourteau",G29,IF($C$8="Divers",K29,IF($C$8="Mon concentré",NOUVEAU!R29,I29)))))</f>
        <v xml:space="preserve"> </v>
      </c>
      <c r="F29" s="194" t="s">
        <v>243</v>
      </c>
      <c r="G29" s="783" t="s">
        <v>1157</v>
      </c>
      <c r="H29" s="3"/>
      <c r="I29" s="3" t="s">
        <v>41</v>
      </c>
      <c r="J29" s="3"/>
      <c r="K29" s="210" t="s">
        <v>252</v>
      </c>
      <c r="L29" s="3"/>
    </row>
    <row r="30" spans="1:25" s="122" customFormat="1" hidden="1" outlineLevel="1" x14ac:dyDescent="0.25"/>
    <row r="31" spans="1:25" s="122" customFormat="1" hidden="1" outlineLevel="1" x14ac:dyDescent="0.25">
      <c r="E31" s="122" t="str">
        <f>IF($C$15="Mélange fermier","Mélange fermier",IF($C$15="Céréale",F31,IF($C$15="Tourteau",G31,IF($C$15="Divers",K31,IF($C$15="Mon concentré",NOUVEAU!R22,I31)))))</f>
        <v>Pois</v>
      </c>
      <c r="F31" s="122" t="s">
        <v>51</v>
      </c>
      <c r="G31" s="122" t="s">
        <v>52</v>
      </c>
      <c r="I31" s="122" t="s">
        <v>53</v>
      </c>
      <c r="K31" s="207" t="s">
        <v>904</v>
      </c>
    </row>
    <row r="32" spans="1:25" s="122" customFormat="1" hidden="1" outlineLevel="1" x14ac:dyDescent="0.25">
      <c r="C32" s="122" t="s">
        <v>40</v>
      </c>
      <c r="E32" s="216" t="str">
        <f>IF($C$15="Mélange fermier","",IF($C$15="Céréale",F32,IF($C$15="Tourteau",G32,IF($C$15="Divers",K32,IF($C$15="Mon concentré",NOUVEAU!R23,I32)))))</f>
        <v>Lupin</v>
      </c>
      <c r="F32" s="122" t="s">
        <v>54</v>
      </c>
      <c r="G32" s="122" t="s">
        <v>55</v>
      </c>
      <c r="I32" s="122" t="s">
        <v>56</v>
      </c>
      <c r="K32" s="207" t="s">
        <v>249</v>
      </c>
    </row>
    <row r="33" spans="2:14" s="122" customFormat="1" hidden="1" outlineLevel="1" x14ac:dyDescent="0.25">
      <c r="C33" s="122" t="s">
        <v>57</v>
      </c>
      <c r="E33" s="216" t="str">
        <f>IF($C$15="Mélange fermier","",IF($C$15="Céréale",F33,IF($C$15="Tourteau",G33,IF($C$15="Divers",K33,IF($C$15="Mon concentré",NOUVEAU!R24,I33)))))</f>
        <v>Féverole</v>
      </c>
      <c r="F33" s="122" t="s">
        <v>58</v>
      </c>
      <c r="G33" s="122" t="s">
        <v>59</v>
      </c>
      <c r="I33" s="122" t="s">
        <v>60</v>
      </c>
      <c r="K33" s="209" t="s">
        <v>903</v>
      </c>
    </row>
    <row r="34" spans="2:14" s="122" customFormat="1" hidden="1" outlineLevel="1" x14ac:dyDescent="0.25">
      <c r="C34" s="122" t="s">
        <v>61</v>
      </c>
      <c r="E34" s="216" t="str">
        <f>IF($C$15="Mélange fermier","",IF($C$15="Céréale",F34,IF($C$15="Tourteau",G34,IF($C$15="Divers",K34,IF($C$15="Mon concentré",NOUVEAU!R25,I34)))))</f>
        <v>Vesce</v>
      </c>
      <c r="F34" s="122" t="s">
        <v>62</v>
      </c>
      <c r="G34" s="122" t="s">
        <v>63</v>
      </c>
      <c r="I34" s="122" t="s">
        <v>64</v>
      </c>
      <c r="K34" s="210" t="s">
        <v>250</v>
      </c>
    </row>
    <row r="35" spans="2:14" s="122" customFormat="1" hidden="1" outlineLevel="1" x14ac:dyDescent="0.25">
      <c r="C35" s="122" t="s">
        <v>65</v>
      </c>
      <c r="E35" s="216" t="str">
        <f>IF($C$15="Mélange fermier","",IF($C$15="Céréale",F35,IF($C$15="Tourteau",G35,IF($C$15="Divers",K35,IF($C$15="Mon concentré",NOUVEAU!R26,I35)))))</f>
        <v>Soja extrudé</v>
      </c>
      <c r="F35" s="122" t="s">
        <v>66</v>
      </c>
      <c r="G35" s="122" t="s">
        <v>67</v>
      </c>
      <c r="I35" s="122" t="s">
        <v>1163</v>
      </c>
      <c r="K35" s="210" t="s">
        <v>119</v>
      </c>
    </row>
    <row r="36" spans="2:14" s="122" customFormat="1" hidden="1" outlineLevel="1" x14ac:dyDescent="0.25">
      <c r="C36" s="216" t="s">
        <v>425</v>
      </c>
      <c r="E36" s="216" t="str">
        <f>IF($C$15="Mélange fermier","",IF($C$15="Céréale",F36,IF($C$15="Tourteau",G36,IF($C$15="Divers",K36,IF($C$15="Mon concentré",NOUVEAU!R27,I36)))))</f>
        <v xml:space="preserve"> </v>
      </c>
      <c r="F36" s="122" t="s">
        <v>68</v>
      </c>
      <c r="G36" s="122" t="s">
        <v>1162</v>
      </c>
      <c r="I36" s="122" t="s">
        <v>41</v>
      </c>
      <c r="K36" s="210" t="s">
        <v>146</v>
      </c>
    </row>
    <row r="37" spans="2:14" s="122" customFormat="1" hidden="1" outlineLevel="1" x14ac:dyDescent="0.25">
      <c r="E37" s="216" t="str">
        <f>IF($C$15="Mélange fermier","",IF($C$15="Céréale",F37,IF($C$15="Tourteau",G37,IF($C$15="Divers",K37,IF($C$15="Mon concentré",NOUVEAU!R28,I37)))))</f>
        <v xml:space="preserve"> </v>
      </c>
      <c r="F37" s="122" t="s">
        <v>69</v>
      </c>
      <c r="G37" s="122" t="s">
        <v>1159</v>
      </c>
      <c r="I37" s="122" t="s">
        <v>41</v>
      </c>
      <c r="K37" s="210" t="s">
        <v>251</v>
      </c>
    </row>
    <row r="38" spans="2:14" s="122" customFormat="1" hidden="1" outlineLevel="1" x14ac:dyDescent="0.25">
      <c r="E38" s="216" t="str">
        <f>IF($C$15="Mélange fermier","",IF($C$15="Céréale",F38,IF($C$15="Tourteau",G38,IF($C$15="Divers",K38,IF($C$15="Mon concentré",NOUVEAU!R29,I38)))))</f>
        <v xml:space="preserve"> </v>
      </c>
      <c r="F38" s="122" t="s">
        <v>243</v>
      </c>
      <c r="G38" s="194" t="s">
        <v>1157</v>
      </c>
      <c r="I38" s="194" t="s">
        <v>41</v>
      </c>
      <c r="K38" s="210" t="s">
        <v>252</v>
      </c>
    </row>
    <row r="39" spans="2:14" hidden="1" outlineLevel="1" x14ac:dyDescent="0.25">
      <c r="B39" s="3"/>
      <c r="C39" s="3"/>
      <c r="D39" s="3"/>
      <c r="E39" s="3"/>
      <c r="F39" s="3"/>
      <c r="G39" s="3"/>
      <c r="H39" s="3"/>
      <c r="I39" s="3"/>
      <c r="J39" s="3"/>
      <c r="K39" s="208"/>
      <c r="L39" s="3"/>
    </row>
    <row r="40" spans="2:14" hidden="1" outlineLevel="1" x14ac:dyDescent="0.25">
      <c r="B40" s="2"/>
      <c r="C40" s="3"/>
      <c r="D40" s="3"/>
      <c r="E40" s="3"/>
      <c r="F40" s="3"/>
      <c r="G40" s="3"/>
      <c r="H40" s="3"/>
      <c r="I40" s="3"/>
      <c r="J40" s="3"/>
      <c r="K40" s="208"/>
      <c r="L40" s="2"/>
    </row>
    <row r="41" spans="2:14" ht="18" hidden="1" outlineLevel="1" x14ac:dyDescent="0.35">
      <c r="B41" s="2"/>
      <c r="C41" s="12" t="s">
        <v>1</v>
      </c>
      <c r="D41" s="14" t="s">
        <v>70</v>
      </c>
      <c r="E41" s="13" t="s">
        <v>48</v>
      </c>
      <c r="F41" s="13" t="s">
        <v>42</v>
      </c>
      <c r="G41" s="13" t="s">
        <v>43</v>
      </c>
      <c r="H41" s="13" t="s">
        <v>71</v>
      </c>
      <c r="I41" s="13" t="s">
        <v>72</v>
      </c>
      <c r="J41" s="3"/>
      <c r="K41" s="643"/>
      <c r="L41" s="643"/>
    </row>
    <row r="42" spans="2:14" hidden="1" outlineLevel="1" x14ac:dyDescent="0.25">
      <c r="B42" s="2"/>
      <c r="C42" s="383" t="s">
        <v>67</v>
      </c>
      <c r="D42" s="741">
        <v>90</v>
      </c>
      <c r="E42" s="196">
        <v>1</v>
      </c>
      <c r="F42" s="383">
        <v>347</v>
      </c>
      <c r="G42" s="383">
        <v>215</v>
      </c>
      <c r="H42" s="197">
        <f>K42*(D42/100)</f>
        <v>3.69</v>
      </c>
      <c r="I42" s="197">
        <f>N42*(D42/100)</f>
        <v>1.08</v>
      </c>
      <c r="J42" s="3"/>
      <c r="K42" s="761">
        <v>4.0999999999999996</v>
      </c>
      <c r="L42" s="388"/>
      <c r="M42" s="388"/>
      <c r="N42" s="388">
        <v>1.2</v>
      </c>
    </row>
    <row r="43" spans="2:14" hidden="1" outlineLevel="1" x14ac:dyDescent="0.25">
      <c r="B43" s="2"/>
      <c r="C43" s="383" t="s">
        <v>58</v>
      </c>
      <c r="D43" s="741">
        <v>88</v>
      </c>
      <c r="E43" s="196">
        <v>0.77</v>
      </c>
      <c r="F43" s="383">
        <v>61</v>
      </c>
      <c r="G43" s="383">
        <v>61</v>
      </c>
      <c r="H43" s="197">
        <f>K43*(D43/100)</f>
        <v>2.3760000000000003</v>
      </c>
      <c r="I43" s="197">
        <f>N43*(D43/100)</f>
        <v>0.61599999999999999</v>
      </c>
      <c r="J43" s="3"/>
      <c r="K43" s="761">
        <v>2.7</v>
      </c>
      <c r="L43" s="388"/>
      <c r="M43" s="388"/>
      <c r="N43" s="388">
        <v>0.7</v>
      </c>
    </row>
    <row r="44" spans="2:14" hidden="1" outlineLevel="1" x14ac:dyDescent="0.25">
      <c r="B44" s="2"/>
      <c r="C44" s="218" t="s">
        <v>51</v>
      </c>
      <c r="D44" s="216">
        <v>87</v>
      </c>
      <c r="E44" s="196">
        <v>1.02</v>
      </c>
      <c r="F44" s="218">
        <v>70</v>
      </c>
      <c r="G44" s="218">
        <v>89</v>
      </c>
      <c r="H44" s="197">
        <f>K44*(D44/100)</f>
        <v>2.262</v>
      </c>
      <c r="I44" s="197">
        <f>N44*(D44/100)</f>
        <v>0.34800000000000003</v>
      </c>
      <c r="J44" s="3"/>
      <c r="K44" s="641">
        <v>2.6</v>
      </c>
      <c r="L44" s="388"/>
      <c r="M44" s="388"/>
      <c r="N44" s="388">
        <v>0.4</v>
      </c>
    </row>
    <row r="45" spans="2:14" hidden="1" outlineLevel="1" x14ac:dyDescent="0.25">
      <c r="B45" s="2"/>
      <c r="C45" s="218" t="s">
        <v>52</v>
      </c>
      <c r="D45" s="722">
        <v>89</v>
      </c>
      <c r="E45" s="196">
        <v>0.85</v>
      </c>
      <c r="F45" s="218">
        <v>219</v>
      </c>
      <c r="G45" s="218">
        <v>138</v>
      </c>
      <c r="H45" s="197">
        <f>K45*(D45/100)</f>
        <v>8.1879999999999988</v>
      </c>
      <c r="I45" s="197">
        <f>N45*(D45/100)</f>
        <v>4.6280000000000001</v>
      </c>
      <c r="J45" s="3"/>
      <c r="K45" s="641">
        <v>9.1999999999999993</v>
      </c>
      <c r="L45" s="388"/>
      <c r="M45" s="388"/>
      <c r="N45" s="388">
        <v>5.2</v>
      </c>
    </row>
    <row r="46" spans="2:14" hidden="1" outlineLevel="1" x14ac:dyDescent="0.25">
      <c r="B46" s="2"/>
      <c r="C46" s="787" t="s">
        <v>1158</v>
      </c>
      <c r="D46" s="788"/>
      <c r="E46" s="789">
        <v>0.85</v>
      </c>
      <c r="F46" s="790">
        <v>255</v>
      </c>
      <c r="G46" s="790">
        <v>246</v>
      </c>
      <c r="H46" s="791">
        <v>9.1999999999999993</v>
      </c>
      <c r="I46" s="791">
        <v>5.2</v>
      </c>
      <c r="J46" s="3"/>
      <c r="K46" s="641"/>
      <c r="L46" s="388"/>
      <c r="M46" s="783"/>
      <c r="N46" s="783"/>
    </row>
    <row r="47" spans="2:14" hidden="1" outlineLevel="1" x14ac:dyDescent="0.25">
      <c r="B47" s="2"/>
      <c r="C47" s="222" t="s">
        <v>1160</v>
      </c>
      <c r="D47" s="796"/>
      <c r="E47" s="228">
        <v>0.93</v>
      </c>
      <c r="F47" s="229">
        <v>127</v>
      </c>
      <c r="G47" s="229">
        <v>102</v>
      </c>
      <c r="H47" s="642">
        <v>6.8</v>
      </c>
      <c r="I47" s="642">
        <v>1</v>
      </c>
      <c r="J47" s="3"/>
      <c r="K47" s="641"/>
      <c r="L47" s="388"/>
      <c r="M47" s="783"/>
      <c r="N47" s="783"/>
    </row>
    <row r="48" spans="2:14" hidden="1" outlineLevel="1" x14ac:dyDescent="0.25">
      <c r="B48" s="2"/>
      <c r="C48" s="383" t="s">
        <v>73</v>
      </c>
      <c r="D48" s="722">
        <v>91</v>
      </c>
      <c r="E48" s="196">
        <v>0.94</v>
      </c>
      <c r="F48" s="383">
        <v>131</v>
      </c>
      <c r="G48" s="383">
        <v>77</v>
      </c>
      <c r="H48" s="197">
        <f>K48*(D48/100)</f>
        <v>4.641</v>
      </c>
      <c r="I48" s="197">
        <f>N48*(D48/100)</f>
        <v>0.91</v>
      </c>
      <c r="J48" s="2"/>
      <c r="K48" s="641">
        <v>5.0999999999999996</v>
      </c>
      <c r="L48" s="388"/>
      <c r="M48" s="388"/>
      <c r="N48" s="388">
        <v>1</v>
      </c>
    </row>
    <row r="49" spans="2:14" hidden="1" outlineLevel="1" x14ac:dyDescent="0.25">
      <c r="B49" s="2"/>
      <c r="C49" s="222" t="s">
        <v>1162</v>
      </c>
      <c r="D49" s="223"/>
      <c r="E49" s="222">
        <v>0.8</v>
      </c>
      <c r="F49" s="222">
        <v>254</v>
      </c>
      <c r="G49" s="222">
        <v>173</v>
      </c>
      <c r="H49" s="222">
        <v>7.9</v>
      </c>
      <c r="I49" s="222">
        <v>1.5</v>
      </c>
      <c r="J49" s="2"/>
      <c r="K49" s="641"/>
      <c r="L49" s="388"/>
      <c r="M49" s="783"/>
      <c r="N49" s="783"/>
    </row>
    <row r="50" spans="2:14" hidden="1" outlineLevel="1" x14ac:dyDescent="0.25">
      <c r="B50" s="2"/>
      <c r="C50" s="787" t="s">
        <v>903</v>
      </c>
      <c r="D50" s="797"/>
      <c r="E50" s="789">
        <v>0.96</v>
      </c>
      <c r="F50" s="790">
        <v>228</v>
      </c>
      <c r="G50" s="790">
        <v>143</v>
      </c>
      <c r="H50" s="791">
        <v>5.4</v>
      </c>
      <c r="I50" s="791">
        <v>2</v>
      </c>
      <c r="J50" s="2"/>
      <c r="K50" s="641"/>
      <c r="L50" s="388"/>
      <c r="M50" s="783"/>
      <c r="N50" s="783"/>
    </row>
    <row r="51" spans="2:14" hidden="1" outlineLevel="1" x14ac:dyDescent="0.25">
      <c r="B51" s="2"/>
      <c r="C51" s="195" t="s">
        <v>904</v>
      </c>
      <c r="D51" s="722">
        <v>92</v>
      </c>
      <c r="E51" s="196">
        <v>0.76</v>
      </c>
      <c r="F51" s="195">
        <v>178</v>
      </c>
      <c r="G51" s="195">
        <v>157</v>
      </c>
      <c r="H51" s="197">
        <f t="shared" ref="H51:H66" si="0">K51*(D51/100)</f>
        <v>4.5080000000000009</v>
      </c>
      <c r="I51" s="197">
        <f t="shared" ref="I51:I66" si="1">N51*(D51/100)</f>
        <v>1.1960000000000002</v>
      </c>
      <c r="J51" s="2"/>
      <c r="K51" s="641">
        <v>4.9000000000000004</v>
      </c>
      <c r="L51" s="388"/>
      <c r="M51" s="388"/>
      <c r="N51" s="388">
        <v>1.3</v>
      </c>
    </row>
    <row r="52" spans="2:14" hidden="1" outlineLevel="1" x14ac:dyDescent="0.25">
      <c r="B52" s="2"/>
      <c r="C52" s="218" t="s">
        <v>60</v>
      </c>
      <c r="D52" s="722">
        <v>86</v>
      </c>
      <c r="E52" s="196">
        <v>1.03</v>
      </c>
      <c r="F52" s="218">
        <v>170</v>
      </c>
      <c r="G52" s="218">
        <v>97</v>
      </c>
      <c r="H52" s="197">
        <f t="shared" si="0"/>
        <v>3.5259999999999998</v>
      </c>
      <c r="I52" s="197">
        <f t="shared" si="1"/>
        <v>0.77400000000000002</v>
      </c>
      <c r="J52" s="2"/>
      <c r="K52" s="641">
        <v>4.0999999999999996</v>
      </c>
      <c r="L52" s="388"/>
      <c r="M52" s="388"/>
      <c r="N52" s="388">
        <v>0.9</v>
      </c>
    </row>
    <row r="53" spans="2:14" hidden="1" outlineLevel="1" x14ac:dyDescent="0.25">
      <c r="B53" s="2"/>
      <c r="C53" s="218" t="s">
        <v>474</v>
      </c>
      <c r="D53" s="722">
        <v>92</v>
      </c>
      <c r="E53" s="196">
        <v>1.68</v>
      </c>
      <c r="F53" s="218">
        <v>12</v>
      </c>
      <c r="G53" s="218">
        <v>61</v>
      </c>
      <c r="H53" s="197">
        <f t="shared" si="0"/>
        <v>4.8760000000000003</v>
      </c>
      <c r="I53" s="197">
        <f t="shared" si="1"/>
        <v>2.5760000000000001</v>
      </c>
      <c r="J53" s="2"/>
      <c r="K53" s="641">
        <v>5.3</v>
      </c>
      <c r="L53" s="388"/>
      <c r="M53" s="388"/>
      <c r="N53" s="388">
        <v>2.8</v>
      </c>
    </row>
    <row r="54" spans="2:14" hidden="1" outlineLevel="1" x14ac:dyDescent="0.25">
      <c r="B54" s="2"/>
      <c r="C54" s="218" t="s">
        <v>240</v>
      </c>
      <c r="D54" s="722">
        <v>100</v>
      </c>
      <c r="E54" s="196">
        <v>2.73</v>
      </c>
      <c r="F54" s="218">
        <v>0</v>
      </c>
      <c r="G54" s="218">
        <v>0</v>
      </c>
      <c r="H54" s="197">
        <f t="shared" si="0"/>
        <v>0</v>
      </c>
      <c r="I54" s="197">
        <f t="shared" si="1"/>
        <v>0</v>
      </c>
      <c r="J54" s="2"/>
      <c r="K54" s="641">
        <v>0</v>
      </c>
      <c r="L54" s="388"/>
      <c r="M54" s="388"/>
      <c r="N54" s="388">
        <v>0</v>
      </c>
    </row>
    <row r="55" spans="2:14" hidden="1" outlineLevel="1" x14ac:dyDescent="0.25">
      <c r="B55" s="2"/>
      <c r="C55" s="218" t="s">
        <v>63</v>
      </c>
      <c r="D55" s="722">
        <v>89</v>
      </c>
      <c r="E55" s="196">
        <v>0.88</v>
      </c>
      <c r="F55" s="218">
        <v>227</v>
      </c>
      <c r="G55" s="218">
        <v>179</v>
      </c>
      <c r="H55" s="197">
        <f t="shared" si="0"/>
        <v>5.34</v>
      </c>
      <c r="I55" s="197">
        <f t="shared" si="1"/>
        <v>2.492</v>
      </c>
      <c r="J55" s="2"/>
      <c r="K55" s="641">
        <v>6</v>
      </c>
      <c r="L55" s="388"/>
      <c r="M55" s="388"/>
      <c r="N55" s="388">
        <v>2.8</v>
      </c>
    </row>
    <row r="56" spans="2:14" hidden="1" outlineLevel="1" x14ac:dyDescent="0.25">
      <c r="B56" s="2"/>
      <c r="C56" s="195" t="s">
        <v>56</v>
      </c>
      <c r="D56" s="722">
        <v>89</v>
      </c>
      <c r="E56" s="196">
        <v>1.18</v>
      </c>
      <c r="F56" s="195">
        <v>213</v>
      </c>
      <c r="G56" s="195">
        <v>106</v>
      </c>
      <c r="H56" s="197">
        <f t="shared" si="0"/>
        <v>2.8480000000000003</v>
      </c>
      <c r="I56" s="197">
        <f t="shared" si="1"/>
        <v>1.8690000000000002</v>
      </c>
      <c r="J56" s="2"/>
      <c r="K56" s="641">
        <v>3.2</v>
      </c>
      <c r="L56" s="388"/>
      <c r="M56" s="388"/>
      <c r="N56" s="388">
        <v>2.1</v>
      </c>
    </row>
    <row r="57" spans="2:14" hidden="1" outlineLevel="1" x14ac:dyDescent="0.25">
      <c r="B57" s="2"/>
      <c r="C57" s="195" t="s">
        <v>145</v>
      </c>
      <c r="D57" s="722">
        <v>91</v>
      </c>
      <c r="E57" s="196">
        <v>0.62</v>
      </c>
      <c r="F57" s="195">
        <v>103</v>
      </c>
      <c r="G57" s="195">
        <v>91</v>
      </c>
      <c r="H57" s="197">
        <f t="shared" si="0"/>
        <v>1.7289999999999999</v>
      </c>
      <c r="I57" s="197">
        <f t="shared" si="1"/>
        <v>5.915</v>
      </c>
      <c r="J57" s="2"/>
      <c r="K57" s="641">
        <v>1.9</v>
      </c>
      <c r="L57" s="388"/>
      <c r="M57" s="388"/>
      <c r="N57" s="388">
        <v>6.5</v>
      </c>
    </row>
    <row r="58" spans="2:14" hidden="1" outlineLevel="1" x14ac:dyDescent="0.25">
      <c r="B58" s="2"/>
      <c r="C58" s="383" t="s">
        <v>68</v>
      </c>
      <c r="D58" s="722">
        <v>86</v>
      </c>
      <c r="E58" s="196">
        <v>1.06</v>
      </c>
      <c r="F58" s="383">
        <v>64</v>
      </c>
      <c r="G58" s="383">
        <v>84</v>
      </c>
      <c r="H58" s="197">
        <f t="shared" si="0"/>
        <v>1.8920000000000001</v>
      </c>
      <c r="I58" s="197">
        <f t="shared" si="1"/>
        <v>0.25800000000000001</v>
      </c>
      <c r="J58" s="2"/>
      <c r="K58" s="641">
        <v>2.2000000000000002</v>
      </c>
      <c r="L58" s="388"/>
      <c r="M58" s="388"/>
      <c r="N58" s="388">
        <v>0.3</v>
      </c>
    </row>
    <row r="59" spans="2:14" hidden="1" outlineLevel="1" x14ac:dyDescent="0.25">
      <c r="B59" s="2"/>
      <c r="C59" s="383" t="s">
        <v>146</v>
      </c>
      <c r="D59" s="722">
        <v>76</v>
      </c>
      <c r="E59" s="196">
        <v>0.75</v>
      </c>
      <c r="F59" s="383">
        <v>63</v>
      </c>
      <c r="G59" s="383">
        <v>54</v>
      </c>
      <c r="H59" s="197">
        <f t="shared" si="0"/>
        <v>0.15200000000000002</v>
      </c>
      <c r="I59" s="197">
        <f t="shared" si="1"/>
        <v>0.38</v>
      </c>
      <c r="J59" s="2"/>
      <c r="K59" s="641">
        <v>0.2</v>
      </c>
      <c r="L59" s="388"/>
      <c r="M59" s="388"/>
      <c r="N59" s="388">
        <v>0.5</v>
      </c>
    </row>
    <row r="60" spans="2:14" hidden="1" outlineLevel="1" x14ac:dyDescent="0.25">
      <c r="B60" s="2"/>
      <c r="C60" s="383" t="s">
        <v>54</v>
      </c>
      <c r="D60" s="722">
        <v>87</v>
      </c>
      <c r="E60" s="196">
        <v>0.95</v>
      </c>
      <c r="F60" s="383">
        <v>69</v>
      </c>
      <c r="G60" s="383">
        <v>87</v>
      </c>
      <c r="H60" s="197">
        <f t="shared" si="0"/>
        <v>2.61</v>
      </c>
      <c r="I60" s="197">
        <f t="shared" si="1"/>
        <v>0.435</v>
      </c>
      <c r="J60" s="2"/>
      <c r="K60" s="641">
        <v>3</v>
      </c>
      <c r="L60" s="388"/>
      <c r="M60" s="388"/>
      <c r="N60" s="388">
        <v>0.5</v>
      </c>
    </row>
    <row r="61" spans="2:14" hidden="1" outlineLevel="1" x14ac:dyDescent="0.25">
      <c r="B61" s="2"/>
      <c r="C61" s="383" t="s">
        <v>53</v>
      </c>
      <c r="D61" s="722">
        <v>86</v>
      </c>
      <c r="E61" s="196">
        <v>1.04</v>
      </c>
      <c r="F61" s="383">
        <v>130</v>
      </c>
      <c r="G61" s="383">
        <v>83</v>
      </c>
      <c r="H61" s="197">
        <f t="shared" si="0"/>
        <v>2.9239999999999999</v>
      </c>
      <c r="I61" s="197">
        <f t="shared" si="1"/>
        <v>0.60199999999999998</v>
      </c>
      <c r="J61" s="2"/>
      <c r="K61" s="641">
        <v>3.4</v>
      </c>
      <c r="L61" s="388"/>
      <c r="M61" s="388"/>
      <c r="N61" s="388">
        <v>0.7</v>
      </c>
    </row>
    <row r="62" spans="2:14" hidden="1" outlineLevel="1" x14ac:dyDescent="0.25">
      <c r="B62" s="2"/>
      <c r="C62" s="218" t="s">
        <v>242</v>
      </c>
      <c r="D62" s="722">
        <v>95</v>
      </c>
      <c r="E62" s="196">
        <v>1.1499999999999999</v>
      </c>
      <c r="F62" s="218">
        <v>196</v>
      </c>
      <c r="G62" s="218">
        <v>75</v>
      </c>
      <c r="H62" s="197">
        <f t="shared" si="0"/>
        <v>9.2149999999999981</v>
      </c>
      <c r="I62" s="197">
        <f t="shared" si="1"/>
        <v>11.114999999999998</v>
      </c>
      <c r="J62" s="2"/>
      <c r="K62" s="641">
        <v>9.6999999999999993</v>
      </c>
      <c r="L62" s="388"/>
      <c r="M62" s="388"/>
      <c r="N62" s="388">
        <v>11.7</v>
      </c>
    </row>
    <row r="63" spans="2:14" hidden="1" outlineLevel="1" x14ac:dyDescent="0.25">
      <c r="B63" s="2"/>
      <c r="C63" s="383" t="s">
        <v>120</v>
      </c>
      <c r="D63" s="722">
        <v>89</v>
      </c>
      <c r="E63" s="196">
        <v>0.89</v>
      </c>
      <c r="F63" s="383">
        <v>59</v>
      </c>
      <c r="G63" s="383">
        <v>97</v>
      </c>
      <c r="H63" s="197">
        <f t="shared" si="0"/>
        <v>0.80100000000000005</v>
      </c>
      <c r="I63" s="197">
        <f t="shared" si="1"/>
        <v>2.67</v>
      </c>
      <c r="J63" s="2"/>
      <c r="K63" s="641">
        <v>0.9</v>
      </c>
      <c r="L63" s="388"/>
      <c r="M63" s="388"/>
      <c r="N63" s="388">
        <v>3</v>
      </c>
    </row>
    <row r="64" spans="2:14" hidden="1" outlineLevel="1" x14ac:dyDescent="0.25">
      <c r="B64" s="2"/>
      <c r="C64" s="195" t="s">
        <v>69</v>
      </c>
      <c r="D64" s="722">
        <v>87</v>
      </c>
      <c r="E64" s="196">
        <v>0.81</v>
      </c>
      <c r="F64" s="195">
        <v>77</v>
      </c>
      <c r="G64" s="195">
        <v>82</v>
      </c>
      <c r="H64" s="197">
        <f t="shared" si="0"/>
        <v>2.262</v>
      </c>
      <c r="I64" s="197">
        <f t="shared" si="1"/>
        <v>0.435</v>
      </c>
      <c r="J64" s="2"/>
      <c r="K64" s="641">
        <v>2.6</v>
      </c>
      <c r="L64" s="388"/>
      <c r="M64" s="388"/>
      <c r="N64" s="388">
        <v>0.5</v>
      </c>
    </row>
    <row r="65" spans="2:14" hidden="1" outlineLevel="1" x14ac:dyDescent="0.25">
      <c r="B65" s="2"/>
      <c r="C65" s="195" t="s">
        <v>66</v>
      </c>
      <c r="D65" s="722">
        <v>87</v>
      </c>
      <c r="E65" s="196">
        <v>1.03</v>
      </c>
      <c r="F65" s="195">
        <v>59</v>
      </c>
      <c r="G65" s="195">
        <v>85</v>
      </c>
      <c r="H65" s="197">
        <f t="shared" si="0"/>
        <v>2.262</v>
      </c>
      <c r="I65" s="197">
        <f t="shared" si="1"/>
        <v>0.60899999999999999</v>
      </c>
      <c r="J65" s="2"/>
      <c r="K65" s="641">
        <v>2.6</v>
      </c>
      <c r="L65" s="388"/>
      <c r="M65" s="388"/>
      <c r="N65" s="388">
        <v>0.7</v>
      </c>
    </row>
    <row r="66" spans="2:14" hidden="1" outlineLevel="1" x14ac:dyDescent="0.25">
      <c r="B66" s="2"/>
      <c r="C66" s="195" t="s">
        <v>55</v>
      </c>
      <c r="D66" s="722">
        <v>88</v>
      </c>
      <c r="E66" s="196">
        <v>1.06</v>
      </c>
      <c r="F66" s="195">
        <v>331</v>
      </c>
      <c r="G66" s="195">
        <v>229</v>
      </c>
      <c r="H66" s="197">
        <f t="shared" si="0"/>
        <v>4.4000000000000004</v>
      </c>
      <c r="I66" s="197">
        <f t="shared" si="1"/>
        <v>1.8480000000000001</v>
      </c>
      <c r="J66" s="2"/>
      <c r="K66" s="641">
        <v>5</v>
      </c>
      <c r="L66" s="388"/>
      <c r="M66" s="388"/>
      <c r="N66" s="388">
        <v>2.1</v>
      </c>
    </row>
    <row r="67" spans="2:14" hidden="1" outlineLevel="1" x14ac:dyDescent="0.25">
      <c r="B67" s="2"/>
      <c r="C67" s="222" t="s">
        <v>1163</v>
      </c>
      <c r="D67" s="797"/>
      <c r="E67" s="789">
        <v>1.27</v>
      </c>
      <c r="F67" s="790">
        <v>262</v>
      </c>
      <c r="G67" s="790">
        <v>214</v>
      </c>
      <c r="H67" s="791">
        <v>4.5999999999999996</v>
      </c>
      <c r="I67" s="791">
        <v>2</v>
      </c>
      <c r="J67" s="2"/>
      <c r="K67" s="641"/>
      <c r="L67" s="388"/>
      <c r="M67" s="783"/>
      <c r="N67" s="783"/>
    </row>
    <row r="68" spans="2:14" hidden="1" outlineLevel="1" x14ac:dyDescent="0.25">
      <c r="B68" s="2"/>
      <c r="C68" s="222" t="s">
        <v>1157</v>
      </c>
      <c r="D68" s="223"/>
      <c r="E68" s="222">
        <v>1.06</v>
      </c>
      <c r="F68" s="222">
        <v>389</v>
      </c>
      <c r="G68" s="222">
        <v>374</v>
      </c>
      <c r="H68" s="642">
        <v>5</v>
      </c>
      <c r="I68" s="642">
        <v>2.1</v>
      </c>
      <c r="J68" s="2"/>
      <c r="K68" s="641"/>
      <c r="L68" s="388"/>
    </row>
    <row r="69" spans="2:14" hidden="1" outlineLevel="1" x14ac:dyDescent="0.25">
      <c r="B69" s="2"/>
      <c r="C69" s="222" t="s">
        <v>1161</v>
      </c>
      <c r="D69" s="796"/>
      <c r="E69" s="222">
        <v>0.82</v>
      </c>
      <c r="F69" s="222">
        <v>94</v>
      </c>
      <c r="G69" s="222">
        <v>80</v>
      </c>
      <c r="H69" s="222">
        <v>8.1999999999999993</v>
      </c>
      <c r="I69" s="222">
        <v>0.9</v>
      </c>
      <c r="J69" s="2"/>
      <c r="K69" s="641"/>
      <c r="L69" s="388"/>
    </row>
    <row r="70" spans="2:14" hidden="1" outlineLevel="1" x14ac:dyDescent="0.25">
      <c r="B70" s="2"/>
      <c r="C70" s="383" t="s">
        <v>243</v>
      </c>
      <c r="D70" s="722">
        <v>87</v>
      </c>
      <c r="E70" s="196">
        <v>1.05</v>
      </c>
      <c r="F70" s="383">
        <v>67</v>
      </c>
      <c r="G70" s="383">
        <v>87</v>
      </c>
      <c r="H70" s="197">
        <f>K70*(D70/100)</f>
        <v>2.0880000000000001</v>
      </c>
      <c r="I70" s="197">
        <f>N70*(D70/100)</f>
        <v>0.17400000000000002</v>
      </c>
      <c r="J70" s="2"/>
      <c r="K70" s="641">
        <v>2.4</v>
      </c>
      <c r="L70" s="388"/>
      <c r="M70" s="388"/>
      <c r="N70" s="388">
        <v>0.2</v>
      </c>
    </row>
    <row r="71" spans="2:14" hidden="1" outlineLevel="1" x14ac:dyDescent="0.25">
      <c r="B71" s="2"/>
      <c r="C71" s="383" t="s">
        <v>59</v>
      </c>
      <c r="D71" s="221">
        <v>89</v>
      </c>
      <c r="E71" s="196">
        <v>0.56000000000000005</v>
      </c>
      <c r="F71" s="383">
        <v>178</v>
      </c>
      <c r="G71" s="383">
        <v>93</v>
      </c>
      <c r="H71" s="197">
        <f>K71*(D71/100)</f>
        <v>6.5860000000000003</v>
      </c>
      <c r="I71" s="197">
        <f>N71*(D71/100)</f>
        <v>2.1360000000000001</v>
      </c>
      <c r="J71" s="2"/>
      <c r="K71" s="641">
        <v>7.4</v>
      </c>
      <c r="L71" s="388"/>
      <c r="M71" s="388"/>
      <c r="N71" s="388">
        <v>2.4</v>
      </c>
    </row>
    <row r="72" spans="2:14" hidden="1" outlineLevel="1" x14ac:dyDescent="0.25">
      <c r="B72" s="2"/>
      <c r="C72" s="795" t="s">
        <v>1159</v>
      </c>
      <c r="D72" s="222"/>
      <c r="E72" s="792">
        <v>0.66</v>
      </c>
      <c r="F72" s="793">
        <v>219</v>
      </c>
      <c r="G72" s="793">
        <v>115</v>
      </c>
      <c r="H72" s="794">
        <v>7.8</v>
      </c>
      <c r="I72" s="794">
        <v>2.5</v>
      </c>
      <c r="J72" s="2"/>
      <c r="K72" s="641"/>
      <c r="L72" s="388"/>
    </row>
    <row r="73" spans="2:14" hidden="1" outlineLevel="1" x14ac:dyDescent="0.25">
      <c r="B73" s="2"/>
      <c r="C73" s="383" t="s">
        <v>62</v>
      </c>
      <c r="D73" s="221">
        <v>87</v>
      </c>
      <c r="E73" s="196">
        <v>1.01</v>
      </c>
      <c r="F73" s="383">
        <v>63</v>
      </c>
      <c r="G73" s="383">
        <v>84</v>
      </c>
      <c r="H73" s="197">
        <f>K73*(D73/100)</f>
        <v>2.61</v>
      </c>
      <c r="I73" s="197">
        <f>N73*(D73/100)</f>
        <v>0.435</v>
      </c>
      <c r="J73" s="2"/>
      <c r="K73" s="641">
        <v>3</v>
      </c>
      <c r="L73" s="388"/>
      <c r="M73" s="388"/>
      <c r="N73" s="388">
        <v>0.5</v>
      </c>
    </row>
    <row r="74" spans="2:14" hidden="1" outlineLevel="1" x14ac:dyDescent="0.25">
      <c r="B74" s="2"/>
      <c r="C74" s="383" t="s">
        <v>244</v>
      </c>
      <c r="D74" s="221">
        <v>98</v>
      </c>
      <c r="E74" s="196">
        <v>0</v>
      </c>
      <c r="F74" s="383">
        <v>1443</v>
      </c>
      <c r="G74" s="383">
        <v>0</v>
      </c>
      <c r="H74" s="197">
        <f>K74*(D74/100)</f>
        <v>0</v>
      </c>
      <c r="I74" s="197">
        <f>N74*(D74/100)</f>
        <v>0</v>
      </c>
      <c r="J74" s="2"/>
      <c r="K74" s="641">
        <v>0</v>
      </c>
      <c r="L74" s="388"/>
      <c r="M74" s="388"/>
      <c r="N74" s="388">
        <v>0</v>
      </c>
    </row>
    <row r="75" spans="2:14" hidden="1" outlineLevel="1" x14ac:dyDescent="0.25">
      <c r="B75" s="2"/>
      <c r="C75" s="383" t="s">
        <v>64</v>
      </c>
      <c r="D75" s="221">
        <v>89</v>
      </c>
      <c r="E75" s="196">
        <v>1.02</v>
      </c>
      <c r="F75" s="383">
        <v>161</v>
      </c>
      <c r="G75" s="383">
        <v>90</v>
      </c>
      <c r="H75" s="197">
        <f>K75*(D75/100)</f>
        <v>3.3819999999999997</v>
      </c>
      <c r="I75" s="197">
        <f>N75*(D75/100)</f>
        <v>0.89</v>
      </c>
      <c r="J75" s="2"/>
      <c r="K75" s="641">
        <v>3.8</v>
      </c>
      <c r="L75" s="388"/>
      <c r="M75" s="388"/>
      <c r="N75" s="388">
        <v>1</v>
      </c>
    </row>
    <row r="76" spans="2:14" hidden="1" outlineLevel="1" x14ac:dyDescent="0.25">
      <c r="B76" s="2"/>
      <c r="C76" s="12"/>
      <c r="D76" s="14"/>
      <c r="E76" s="196"/>
      <c r="F76" s="12"/>
      <c r="G76" s="12"/>
      <c r="H76" s="12"/>
      <c r="I76" s="12"/>
      <c r="J76" s="2"/>
      <c r="K76" s="2"/>
      <c r="L76" s="2"/>
    </row>
    <row r="77" spans="2:14" hidden="1" outlineLevel="1" x14ac:dyDescent="0.25">
      <c r="B77" s="2"/>
      <c r="C77" s="12"/>
      <c r="D77" s="14"/>
      <c r="E77" s="12"/>
      <c r="F77" s="12"/>
      <c r="G77" s="12"/>
      <c r="H77" s="12"/>
      <c r="I77" s="12"/>
      <c r="J77" s="2"/>
      <c r="K77" s="2"/>
      <c r="L77" s="2"/>
    </row>
    <row r="78" spans="2:14" hidden="1" outlineLevel="1" x14ac:dyDescent="0.25">
      <c r="B78" s="2"/>
      <c r="C78" s="12"/>
      <c r="D78" s="14"/>
      <c r="E78" s="12"/>
      <c r="F78" s="12"/>
      <c r="G78" s="12"/>
      <c r="H78" s="12"/>
      <c r="I78" s="12"/>
      <c r="J78" s="2"/>
      <c r="K78" s="2"/>
      <c r="L78" s="2"/>
    </row>
    <row r="79" spans="2:14" hidden="1" outlineLevel="1" x14ac:dyDescent="0.25">
      <c r="B79" s="2"/>
      <c r="C79" s="12"/>
      <c r="D79" s="14"/>
      <c r="E79" s="12"/>
      <c r="F79" s="12"/>
      <c r="G79" s="12"/>
      <c r="H79" s="12"/>
      <c r="I79" s="12"/>
      <c r="J79" s="2"/>
      <c r="K79" s="2"/>
      <c r="L79" s="2"/>
    </row>
    <row r="80" spans="2:14" hidden="1" outlineLevel="1" x14ac:dyDescent="0.25">
      <c r="B80" s="2"/>
      <c r="J80" s="2"/>
      <c r="K80" s="2"/>
      <c r="L80" s="2"/>
    </row>
    <row r="81" spans="2:12" hidden="1" outlineLevel="1" x14ac:dyDescent="0.25">
      <c r="B81" s="2"/>
      <c r="C81" s="3"/>
      <c r="D81" s="3"/>
      <c r="E81" s="3"/>
      <c r="F81" s="3"/>
      <c r="G81" s="3"/>
      <c r="H81" s="3"/>
      <c r="I81" s="3"/>
      <c r="J81" s="2"/>
      <c r="K81" s="2"/>
      <c r="L81" s="2"/>
    </row>
    <row r="82" spans="2:12" hidden="1" outlineLevel="1" x14ac:dyDescent="0.25">
      <c r="B82" s="722"/>
      <c r="C82" s="752"/>
      <c r="D82" s="722"/>
      <c r="E82" s="753"/>
      <c r="F82" s="754"/>
      <c r="G82" s="754"/>
      <c r="H82" s="755"/>
      <c r="I82" s="755"/>
      <c r="J82" s="2"/>
      <c r="K82" s="2"/>
      <c r="L82" s="2"/>
    </row>
    <row r="83" spans="2:12" collapsed="1" x14ac:dyDescent="0.25">
      <c r="B83" s="2"/>
      <c r="C83" s="3"/>
      <c r="D83" s="3"/>
      <c r="E83" s="3"/>
      <c r="F83" s="3"/>
      <c r="G83" s="3"/>
      <c r="H83" s="3"/>
      <c r="I83" s="3"/>
      <c r="J83" s="2"/>
      <c r="K83" s="2"/>
      <c r="L83" s="2"/>
    </row>
  </sheetData>
  <protectedRanges>
    <protectedRange sqref="K9:K10" name="Plage3"/>
    <protectedRange sqref="C8:C10" name="Plage1"/>
    <protectedRange sqref="C15:C17" name="Plage2"/>
    <protectedRange sqref="K16:K17" name="Plage4"/>
  </protectedRanges>
  <sortState ref="C42:N75">
    <sortCondition ref="C42:C75"/>
  </sortState>
  <mergeCells count="17">
    <mergeCell ref="N17:N18"/>
    <mergeCell ref="N14:N15"/>
    <mergeCell ref="N6:Q6"/>
    <mergeCell ref="B2:Q2"/>
    <mergeCell ref="K16:K17"/>
    <mergeCell ref="N7:N8"/>
    <mergeCell ref="O7:Q8"/>
    <mergeCell ref="B1:Q1"/>
    <mergeCell ref="I4:Q4"/>
    <mergeCell ref="E15:I15"/>
    <mergeCell ref="J5:L7"/>
    <mergeCell ref="B13:D13"/>
    <mergeCell ref="B6:D6"/>
    <mergeCell ref="E6:I7"/>
    <mergeCell ref="E13:I14"/>
    <mergeCell ref="K9:K10"/>
    <mergeCell ref="E8:I8"/>
  </mergeCells>
  <dataValidations count="3">
    <dataValidation type="list" allowBlank="1" showInputMessage="1" showErrorMessage="1" sqref="C15 C8">
      <formula1>$C$23:$C$28</formula1>
    </dataValidation>
    <dataValidation type="list" allowBlank="1" showInputMessage="1" showErrorMessage="1" sqref="C10">
      <formula1>$E$22:$E$29</formula1>
    </dataValidation>
    <dataValidation type="list" allowBlank="1" showInputMessage="1" showErrorMessage="1" sqref="C17">
      <formula1>$E$31:$E$38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/>
  <dimension ref="A1:Y52"/>
  <sheetViews>
    <sheetView showGridLines="0" topLeftCell="A2" zoomScale="110" zoomScaleNormal="110" workbookViewId="0">
      <selection activeCell="C8" sqref="C8:E8"/>
    </sheetView>
  </sheetViews>
  <sheetFormatPr defaultColWidth="11.42578125" defaultRowHeight="15" outlineLevelRow="1" x14ac:dyDescent="0.25"/>
  <cols>
    <col min="1" max="1" width="4.140625" customWidth="1"/>
    <col min="2" max="2" width="8.42578125" customWidth="1"/>
    <col min="3" max="3" width="7.28515625" customWidth="1"/>
    <col min="4" max="4" width="3.5703125" style="216" customWidth="1"/>
    <col min="5" max="5" width="13.140625" style="216" customWidth="1"/>
    <col min="6" max="6" width="3.85546875" customWidth="1"/>
    <col min="8" max="8" width="8.42578125" customWidth="1"/>
    <col min="10" max="10" width="8.7109375" customWidth="1"/>
    <col min="11" max="11" width="3.85546875" customWidth="1"/>
    <col min="12" max="12" width="19.140625" customWidth="1"/>
    <col min="13" max="13" width="3.85546875" customWidth="1"/>
    <col min="14" max="14" width="3.7109375" customWidth="1"/>
    <col min="15" max="15" width="15.7109375" customWidth="1"/>
    <col min="16" max="16" width="8.28515625" customWidth="1"/>
    <col min="17" max="17" width="4.28515625" customWidth="1"/>
    <col min="18" max="18" width="13" customWidth="1"/>
    <col min="19" max="19" width="2.85546875" customWidth="1"/>
  </cols>
  <sheetData>
    <row r="1" spans="1:25" ht="59.25" customHeight="1" thickBot="1" x14ac:dyDescent="0.3">
      <c r="A1" s="126"/>
      <c r="B1" s="1080" t="s">
        <v>1275</v>
      </c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  <c r="Q1" s="1080"/>
      <c r="R1" s="1080"/>
      <c r="S1" s="497"/>
    </row>
    <row r="2" spans="1:25" ht="24" customHeight="1" thickBot="1" x14ac:dyDescent="0.3">
      <c r="A2" s="126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8"/>
      <c r="S2" s="497"/>
    </row>
    <row r="3" spans="1:25" ht="12" customHeight="1" x14ac:dyDescent="0.25">
      <c r="A3" s="126"/>
      <c r="B3" s="1194"/>
      <c r="C3" s="1194"/>
      <c r="D3" s="1194"/>
      <c r="E3" s="1194"/>
      <c r="F3" s="1194"/>
      <c r="G3" s="1194"/>
      <c r="H3" s="1194"/>
      <c r="I3" s="136"/>
      <c r="J3" s="136"/>
      <c r="K3" s="135"/>
      <c r="L3" s="135"/>
      <c r="M3" s="126"/>
      <c r="N3" s="126"/>
      <c r="O3" s="497"/>
      <c r="P3" s="497"/>
      <c r="Q3" s="497"/>
      <c r="R3" s="497"/>
      <c r="S3" s="497"/>
    </row>
    <row r="4" spans="1:25" s="122" customFormat="1" ht="27.75" customHeight="1" x14ac:dyDescent="0.25">
      <c r="A4" s="126"/>
      <c r="B4" s="31"/>
      <c r="C4" s="30"/>
      <c r="D4" s="30"/>
      <c r="E4" s="30"/>
      <c r="F4" s="30"/>
      <c r="G4" s="30"/>
      <c r="H4" s="30"/>
      <c r="I4" s="1086" t="s">
        <v>759</v>
      </c>
      <c r="J4" s="1086"/>
      <c r="K4" s="1086"/>
      <c r="L4" s="1086"/>
      <c r="M4" s="1086"/>
      <c r="N4" s="1086"/>
      <c r="O4" s="1086"/>
      <c r="P4" s="1086"/>
      <c r="Q4" s="1086"/>
      <c r="R4" s="1087"/>
      <c r="S4" s="497"/>
    </row>
    <row r="5" spans="1:25" ht="12.75" customHeight="1" x14ac:dyDescent="0.25">
      <c r="A5" s="126"/>
      <c r="B5" s="134"/>
      <c r="C5" s="134"/>
      <c r="D5" s="233"/>
      <c r="E5" s="233"/>
      <c r="F5" s="134"/>
      <c r="G5" s="134"/>
      <c r="H5" s="134"/>
      <c r="I5" s="135"/>
      <c r="J5" s="135"/>
      <c r="K5" s="135"/>
      <c r="L5" s="135"/>
      <c r="M5" s="126"/>
      <c r="N5" s="126"/>
      <c r="O5" s="497"/>
      <c r="P5" s="497"/>
      <c r="Q5" s="497"/>
      <c r="R5" s="497"/>
      <c r="S5" s="497"/>
    </row>
    <row r="6" spans="1:25" ht="22.5" customHeight="1" x14ac:dyDescent="0.45">
      <c r="A6" s="126"/>
      <c r="B6" s="1192" t="s">
        <v>102</v>
      </c>
      <c r="C6" s="1193"/>
      <c r="D6" s="1193"/>
      <c r="E6" s="1193"/>
      <c r="F6" s="1193"/>
      <c r="G6" s="1193"/>
      <c r="H6" s="1193"/>
      <c r="I6" s="1193"/>
      <c r="J6" s="1193"/>
      <c r="K6" s="1193"/>
      <c r="L6" s="1193"/>
      <c r="M6" s="19"/>
      <c r="N6" s="126"/>
      <c r="O6" s="336"/>
      <c r="P6" s="886" t="s">
        <v>1218</v>
      </c>
      <c r="Q6" s="1190" t="s">
        <v>1219</v>
      </c>
      <c r="R6" s="1191"/>
      <c r="S6" s="497"/>
    </row>
    <row r="7" spans="1:25" ht="45.75" customHeight="1" x14ac:dyDescent="0.25">
      <c r="A7" s="126"/>
      <c r="B7" s="114"/>
      <c r="C7" s="1183" t="s">
        <v>460</v>
      </c>
      <c r="D7" s="1183"/>
      <c r="E7" s="1183"/>
      <c r="F7" s="258"/>
      <c r="G7" s="1187" t="s">
        <v>1073</v>
      </c>
      <c r="H7" s="1187"/>
      <c r="I7" s="1187"/>
      <c r="J7" s="1187"/>
      <c r="K7" s="497"/>
      <c r="L7" s="777" t="s">
        <v>103</v>
      </c>
      <c r="M7" s="765"/>
      <c r="N7" s="126"/>
      <c r="O7" s="885" t="s">
        <v>1220</v>
      </c>
      <c r="P7" s="526"/>
      <c r="Q7" s="526"/>
      <c r="R7" s="500"/>
      <c r="S7" s="497"/>
      <c r="T7" s="833"/>
      <c r="U7" s="833">
        <f>ANIMAL!H16</f>
        <v>3.2</v>
      </c>
      <c r="V7" s="972">
        <f>ANIMAL!I16</f>
        <v>3.5</v>
      </c>
      <c r="W7" s="833"/>
      <c r="X7" s="833"/>
      <c r="Y7" s="833"/>
    </row>
    <row r="8" spans="1:25" ht="39.75" customHeight="1" x14ac:dyDescent="0.5">
      <c r="A8" s="126"/>
      <c r="B8" s="20" t="s">
        <v>104</v>
      </c>
      <c r="C8" s="1182"/>
      <c r="D8" s="1182"/>
      <c r="E8" s="1182"/>
      <c r="F8" s="126"/>
      <c r="G8" s="1186" t="str">
        <f>IF(L24=TRUE,"Un CMV n'est pas nécessaire",IF(L14="","",IF(L12&lt;0.2,"Utilisez un CMV pauvre en P",CONCATENATE("Utilisez un CMV avec ",INT(1.63*(L14/L12))," fois plus de Ca que de P"))))</f>
        <v>Utilisez un CMV avec 1 fois plus de Ca que de P</v>
      </c>
      <c r="H8" s="1186"/>
      <c r="I8" s="1186"/>
      <c r="J8" s="1186"/>
      <c r="K8" s="138"/>
      <c r="L8" s="763" t="str">
        <f>CONCATENATE("C.M.V.",C8)</f>
        <v>C.M.V.</v>
      </c>
      <c r="M8" s="21"/>
      <c r="N8" s="126"/>
      <c r="O8" s="887" t="s">
        <v>1221</v>
      </c>
      <c r="P8" s="526"/>
      <c r="Q8" s="526"/>
      <c r="R8" s="500"/>
      <c r="S8" s="497"/>
      <c r="T8" s="833"/>
      <c r="U8" s="833" t="str">
        <f>IF(RATION!I24="",RATION!I16,RATION!I16+RATION!I24)</f>
        <v/>
      </c>
      <c r="V8" s="972" t="str">
        <f>IF(RATION!J24="",RATION!J16,RATION!J16+RATION!J24)</f>
        <v/>
      </c>
      <c r="W8" s="833"/>
      <c r="X8" s="833"/>
      <c r="Y8" s="833"/>
    </row>
    <row r="9" spans="1:25" ht="12.75" customHeight="1" x14ac:dyDescent="0.5">
      <c r="A9" s="126"/>
      <c r="B9" s="146"/>
      <c r="C9" s="147"/>
      <c r="D9" s="147"/>
      <c r="E9" s="147"/>
      <c r="F9" s="147"/>
      <c r="G9" s="147"/>
      <c r="H9" s="147"/>
      <c r="I9" s="147"/>
      <c r="J9" s="147"/>
      <c r="K9" s="147"/>
      <c r="L9" s="766"/>
      <c r="M9" s="25"/>
      <c r="N9" s="126"/>
      <c r="O9" s="527"/>
      <c r="P9" s="526"/>
      <c r="Q9" s="526"/>
      <c r="R9" s="500"/>
      <c r="S9" s="497"/>
      <c r="T9" s="833"/>
      <c r="U9" s="833"/>
      <c r="V9" s="833"/>
      <c r="W9" s="833"/>
      <c r="X9" s="833"/>
      <c r="Y9" s="833"/>
    </row>
    <row r="10" spans="1:25" s="122" customFormat="1" ht="13.5" customHeight="1" x14ac:dyDescent="0.5">
      <c r="A10" s="126"/>
      <c r="B10" s="259"/>
      <c r="C10" s="259"/>
      <c r="D10" s="259"/>
      <c r="E10" s="259"/>
      <c r="F10" s="259"/>
      <c r="G10" s="138"/>
      <c r="H10" s="138"/>
      <c r="I10" s="138"/>
      <c r="J10" s="138"/>
      <c r="K10" s="138"/>
      <c r="L10" s="126"/>
      <c r="M10" s="126"/>
      <c r="N10" s="126"/>
      <c r="O10" s="527"/>
      <c r="P10" s="884"/>
      <c r="Q10" s="526"/>
      <c r="R10" s="500"/>
      <c r="S10" s="497"/>
      <c r="T10" s="834">
        <v>0</v>
      </c>
      <c r="U10" s="834" t="e">
        <f>U8/U7</f>
        <v>#VALUE!</v>
      </c>
      <c r="V10" s="834" t="e">
        <f>V8/V7</f>
        <v>#VALUE!</v>
      </c>
      <c r="W10" s="834">
        <v>0</v>
      </c>
      <c r="X10" s="833"/>
      <c r="Y10" s="833"/>
    </row>
    <row r="11" spans="1:25" ht="36" customHeight="1" x14ac:dyDescent="0.25">
      <c r="A11" s="126"/>
      <c r="B11" s="1184" t="s">
        <v>1198</v>
      </c>
      <c r="C11" s="1185"/>
      <c r="D11" s="1185"/>
      <c r="E11" s="1185"/>
      <c r="F11" s="1185"/>
      <c r="G11" s="1185"/>
      <c r="H11" s="1185"/>
      <c r="I11" s="1185"/>
      <c r="J11" s="1185"/>
      <c r="K11" s="18"/>
      <c r="L11" s="142" t="s">
        <v>806</v>
      </c>
      <c r="M11" s="19"/>
      <c r="N11" s="126"/>
      <c r="O11" s="527"/>
      <c r="P11" s="968" t="e">
        <f>IF(L12="","",U10)</f>
        <v>#VALUE!</v>
      </c>
      <c r="Q11" s="526"/>
      <c r="R11" s="969" t="e">
        <f>IF(L14="","",V10)</f>
        <v>#VALUE!</v>
      </c>
      <c r="S11" s="497"/>
      <c r="T11" s="834">
        <v>1</v>
      </c>
      <c r="U11" s="834">
        <v>1</v>
      </c>
      <c r="V11" s="834">
        <v>1</v>
      </c>
      <c r="W11" s="834">
        <v>1</v>
      </c>
      <c r="X11" s="833"/>
      <c r="Y11" s="833"/>
    </row>
    <row r="12" spans="1:25" ht="41.25" customHeight="1" x14ac:dyDescent="0.5">
      <c r="A12" s="126"/>
      <c r="B12" s="145"/>
      <c r="C12" s="850"/>
      <c r="D12" s="822" t="s">
        <v>461</v>
      </c>
      <c r="E12" s="257"/>
      <c r="F12" s="138"/>
      <c r="G12" s="1115" t="s">
        <v>47</v>
      </c>
      <c r="H12" s="1115"/>
      <c r="I12" s="1115"/>
      <c r="J12" s="1115"/>
      <c r="K12" s="123"/>
      <c r="L12" s="143">
        <f>IF(ANIMAL!C8="","",IF(SUM(RATION!I24,RATION!I16)-RATION!I8&gt;=0,0,-(SUM(RATION!I24,RATION!I16)-RATION!I8)))</f>
        <v>3.2</v>
      </c>
      <c r="M12" s="21"/>
      <c r="N12" s="126"/>
      <c r="O12" s="885" t="s">
        <v>1220</v>
      </c>
      <c r="P12" s="526"/>
      <c r="Q12" s="526"/>
      <c r="R12" s="500"/>
      <c r="S12" s="497"/>
      <c r="T12" s="833"/>
      <c r="U12" s="833"/>
      <c r="V12" s="833"/>
      <c r="W12" s="833"/>
      <c r="X12" s="833"/>
      <c r="Y12" s="833"/>
    </row>
    <row r="13" spans="1:25" ht="23.25" customHeight="1" x14ac:dyDescent="0.35">
      <c r="A13" s="126"/>
      <c r="B13" s="20"/>
      <c r="C13" s="123"/>
      <c r="D13" s="123"/>
      <c r="E13" s="123"/>
      <c r="F13" s="123"/>
      <c r="G13" s="1189" t="s">
        <v>49</v>
      </c>
      <c r="H13" s="1189"/>
      <c r="I13" s="1189" t="s">
        <v>50</v>
      </c>
      <c r="J13" s="1189"/>
      <c r="K13" s="123"/>
      <c r="L13" s="144" t="s">
        <v>807</v>
      </c>
      <c r="M13" s="21"/>
      <c r="N13" s="126"/>
      <c r="O13" s="527"/>
      <c r="P13" s="526"/>
      <c r="Q13" s="526"/>
      <c r="R13" s="500"/>
      <c r="S13" s="497"/>
      <c r="T13" s="833">
        <f>IF(C8="",0,(C12/1000)*G14)</f>
        <v>0</v>
      </c>
      <c r="U13" s="833" t="e">
        <f>T13+U8</f>
        <v>#VALUE!</v>
      </c>
      <c r="V13" s="833">
        <v>0</v>
      </c>
      <c r="W13" s="834" t="e">
        <f>U13/U7</f>
        <v>#VALUE!</v>
      </c>
      <c r="X13" s="834" t="e">
        <f>U14/V7</f>
        <v>#VALUE!</v>
      </c>
      <c r="Y13" s="833"/>
    </row>
    <row r="14" spans="1:25" ht="39" customHeight="1" x14ac:dyDescent="0.25">
      <c r="A14" s="126"/>
      <c r="B14" s="20" t="s">
        <v>105</v>
      </c>
      <c r="C14" s="143" t="str">
        <f>IF(C8="","",IF(VLOOKUP(C8,C20:H40,4)&gt;10,"ns",VLOOKUP(C8,C20:H40,4)))</f>
        <v/>
      </c>
      <c r="D14" s="260"/>
      <c r="E14" s="234" t="str">
        <f>IF(C8="","",G42)</f>
        <v/>
      </c>
      <c r="F14" s="123"/>
      <c r="G14" s="1188" t="str">
        <f>IF(C8="","",VLOOKUP(C8,C20:H40,5))</f>
        <v/>
      </c>
      <c r="H14" s="1188"/>
      <c r="I14" s="1188" t="str">
        <f>IF(C8="","",VLOOKUP(C8,C20:H40,6))</f>
        <v/>
      </c>
      <c r="J14" s="1188"/>
      <c r="K14" s="123"/>
      <c r="L14" s="143">
        <f>IF(ANIMAL!C8="","",IF(SUM(RATION!J24,RATION!J16)-RATION!J8&gt;=0,0,-(SUM(RATION!J24,RATION!J16)-RATION!J8)))</f>
        <v>3.5</v>
      </c>
      <c r="M14" s="21"/>
      <c r="N14" s="126"/>
      <c r="O14" s="887" t="s">
        <v>1222</v>
      </c>
      <c r="P14" s="526"/>
      <c r="Q14" s="526"/>
      <c r="R14" s="500"/>
      <c r="S14" s="497"/>
      <c r="T14" s="833">
        <f>IF(C8="",0,(C12/1000)*I14)</f>
        <v>0</v>
      </c>
      <c r="U14" s="972" t="e">
        <f>T14+V8</f>
        <v>#VALUE!</v>
      </c>
      <c r="V14" s="833">
        <v>1</v>
      </c>
      <c r="W14" s="834">
        <v>1</v>
      </c>
      <c r="X14" s="834">
        <v>1</v>
      </c>
      <c r="Y14" s="833"/>
    </row>
    <row r="15" spans="1:25" ht="8.25" customHeight="1" x14ac:dyDescent="0.25">
      <c r="A15" s="126"/>
      <c r="B15" s="20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21"/>
      <c r="N15" s="126"/>
      <c r="O15" s="527"/>
      <c r="P15" s="526"/>
      <c r="Q15" s="526"/>
      <c r="R15" s="500"/>
      <c r="S15" s="497"/>
      <c r="T15" s="833"/>
      <c r="U15" s="833"/>
      <c r="V15" s="833"/>
      <c r="W15" s="833"/>
      <c r="X15" s="833"/>
      <c r="Y15" s="833"/>
    </row>
    <row r="16" spans="1:25" s="216" customFormat="1" ht="28.5" customHeight="1" x14ac:dyDescent="0.25">
      <c r="A16" s="126"/>
      <c r="B16" s="22"/>
      <c r="C16" s="1181" t="str">
        <f>IF(C8="","",IF(E14&lt;10,"Un CMV n'est pas nécessaire     -    Cliquez sur Valider sans rien saisir",""))</f>
        <v/>
      </c>
      <c r="D16" s="1181"/>
      <c r="E16" s="1181"/>
      <c r="F16" s="1181"/>
      <c r="G16" s="1181"/>
      <c r="H16" s="1181"/>
      <c r="I16" s="1181"/>
      <c r="J16" s="1181"/>
      <c r="K16" s="1181"/>
      <c r="L16" s="1181"/>
      <c r="M16" s="25"/>
      <c r="N16" s="126"/>
      <c r="O16" s="504"/>
      <c r="P16" s="970" t="e">
        <f>IF(L12="","",W13)</f>
        <v>#VALUE!</v>
      </c>
      <c r="Q16" s="501"/>
      <c r="R16" s="971" t="e">
        <f>IF(L14="","",X13)</f>
        <v>#VALUE!</v>
      </c>
      <c r="S16" s="497"/>
      <c r="T16" s="833"/>
      <c r="U16" s="833"/>
      <c r="V16" s="833"/>
      <c r="W16" s="833"/>
      <c r="X16" s="833"/>
      <c r="Y16" s="833"/>
    </row>
    <row r="17" spans="1:25" x14ac:dyDescent="0.25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497"/>
      <c r="P17" s="497"/>
      <c r="Q17" s="497"/>
      <c r="R17" s="497"/>
      <c r="S17" s="497"/>
      <c r="T17" s="833"/>
      <c r="U17" s="833"/>
      <c r="V17" s="833"/>
      <c r="W17" s="833"/>
      <c r="X17" s="833"/>
      <c r="Y17" s="833"/>
    </row>
    <row r="18" spans="1:25" x14ac:dyDescent="0.25">
      <c r="A18" s="122"/>
      <c r="B18" s="122"/>
      <c r="C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</row>
    <row r="19" spans="1:25" hidden="1" outlineLevel="1" x14ac:dyDescent="0.25">
      <c r="A19" s="122"/>
      <c r="B19" s="122"/>
      <c r="C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</row>
    <row r="20" spans="1:25" ht="15" hidden="1" customHeight="1" outlineLevel="1" x14ac:dyDescent="0.25">
      <c r="A20" s="122"/>
      <c r="B20" s="122"/>
      <c r="C20" s="767" t="s">
        <v>1065</v>
      </c>
      <c r="D20" s="230"/>
      <c r="E20" s="230"/>
      <c r="F20" s="528">
        <f t="shared" ref="F20:F40" si="0">J20/I20</f>
        <v>2700</v>
      </c>
      <c r="G20" s="122">
        <v>0.1</v>
      </c>
      <c r="H20" s="122">
        <f t="shared" ref="H20:H40" si="1">J20*0.4</f>
        <v>108</v>
      </c>
      <c r="I20" s="216">
        <v>0.1</v>
      </c>
      <c r="J20" s="216">
        <v>270</v>
      </c>
      <c r="K20" s="122"/>
      <c r="L20" s="140"/>
      <c r="M20" s="122"/>
      <c r="N20" s="122"/>
      <c r="O20" s="122"/>
      <c r="P20" s="122"/>
    </row>
    <row r="21" spans="1:25" ht="15" hidden="1" customHeight="1" outlineLevel="1" x14ac:dyDescent="0.25">
      <c r="A21" s="122"/>
      <c r="B21" s="122"/>
      <c r="C21" s="122" t="s">
        <v>106</v>
      </c>
      <c r="F21" s="139">
        <f t="shared" si="0"/>
        <v>2</v>
      </c>
      <c r="G21" s="216">
        <f t="shared" ref="G21:G40" si="2">I21*0.65</f>
        <v>65</v>
      </c>
      <c r="H21" s="216">
        <f t="shared" si="1"/>
        <v>80</v>
      </c>
      <c r="I21" s="216">
        <v>100</v>
      </c>
      <c r="J21" s="216">
        <v>200</v>
      </c>
      <c r="K21" s="122"/>
      <c r="L21" s="140"/>
      <c r="M21" s="122"/>
      <c r="N21" s="122"/>
      <c r="O21" s="122"/>
      <c r="P21" s="122"/>
    </row>
    <row r="22" spans="1:25" hidden="1" outlineLevel="1" x14ac:dyDescent="0.25">
      <c r="A22" s="122"/>
      <c r="B22" s="122"/>
      <c r="C22" s="230" t="s">
        <v>432</v>
      </c>
      <c r="D22" s="230"/>
      <c r="E22" s="230"/>
      <c r="F22" s="139">
        <f t="shared" si="0"/>
        <v>0.6</v>
      </c>
      <c r="G22" s="216">
        <f t="shared" si="2"/>
        <v>65</v>
      </c>
      <c r="H22" s="216">
        <f t="shared" si="1"/>
        <v>24</v>
      </c>
      <c r="I22" s="216">
        <v>100</v>
      </c>
      <c r="J22" s="216">
        <v>60</v>
      </c>
      <c r="K22" s="122"/>
      <c r="L22" s="122"/>
      <c r="M22" s="122"/>
      <c r="N22" s="122"/>
      <c r="O22" s="122"/>
      <c r="P22" s="122"/>
    </row>
    <row r="23" spans="1:25" hidden="1" outlineLevel="1" x14ac:dyDescent="0.25">
      <c r="A23" s="122"/>
      <c r="B23" s="122"/>
      <c r="C23" s="216" t="s">
        <v>107</v>
      </c>
      <c r="F23" s="139">
        <f t="shared" si="0"/>
        <v>1</v>
      </c>
      <c r="G23" s="216">
        <f t="shared" si="2"/>
        <v>78</v>
      </c>
      <c r="H23" s="216">
        <f t="shared" si="1"/>
        <v>48</v>
      </c>
      <c r="I23" s="216">
        <v>120</v>
      </c>
      <c r="J23" s="216">
        <v>120</v>
      </c>
      <c r="K23" s="122"/>
      <c r="L23" s="762"/>
      <c r="M23" s="122"/>
      <c r="N23" s="122"/>
      <c r="O23" s="122"/>
      <c r="P23" s="388"/>
    </row>
    <row r="24" spans="1:25" hidden="1" outlineLevel="1" x14ac:dyDescent="0.25">
      <c r="A24" s="122"/>
      <c r="B24" s="122"/>
      <c r="C24" s="764" t="s">
        <v>1066</v>
      </c>
      <c r="D24" s="137"/>
      <c r="E24" s="137"/>
      <c r="F24" s="139">
        <f t="shared" si="0"/>
        <v>14</v>
      </c>
      <c r="G24" s="216">
        <f t="shared" si="2"/>
        <v>13</v>
      </c>
      <c r="H24" s="216">
        <f t="shared" si="1"/>
        <v>112</v>
      </c>
      <c r="I24" s="216">
        <v>20</v>
      </c>
      <c r="J24" s="216">
        <v>280</v>
      </c>
      <c r="K24" s="122"/>
      <c r="L24" s="122" t="b">
        <f>AND(L12&lt;0.2,L14&lt;0.2)</f>
        <v>0</v>
      </c>
      <c r="M24" s="122"/>
      <c r="N24" s="122"/>
      <c r="O24" s="122"/>
      <c r="P24" s="388"/>
    </row>
    <row r="25" spans="1:25" hidden="1" outlineLevel="1" x14ac:dyDescent="0.25">
      <c r="A25" s="122"/>
      <c r="B25" s="122"/>
      <c r="C25" s="764" t="s">
        <v>1068</v>
      </c>
      <c r="D25" s="137"/>
      <c r="E25" s="137"/>
      <c r="F25" s="139">
        <f t="shared" si="0"/>
        <v>9</v>
      </c>
      <c r="G25" s="216">
        <f t="shared" si="2"/>
        <v>19.5</v>
      </c>
      <c r="H25" s="216">
        <f t="shared" si="1"/>
        <v>108</v>
      </c>
      <c r="I25" s="216">
        <v>30</v>
      </c>
      <c r="J25" s="216">
        <v>270</v>
      </c>
      <c r="K25" s="122"/>
      <c r="L25" s="122"/>
      <c r="M25" s="122"/>
      <c r="N25" s="122"/>
      <c r="O25" s="122"/>
      <c r="P25" s="122"/>
    </row>
    <row r="26" spans="1:25" s="762" customFormat="1" hidden="1" outlineLevel="1" x14ac:dyDescent="0.25">
      <c r="C26" s="231" t="s">
        <v>430</v>
      </c>
      <c r="D26" s="231"/>
      <c r="E26" s="231"/>
      <c r="F26" s="528">
        <f t="shared" si="0"/>
        <v>5.25</v>
      </c>
      <c r="G26" s="762">
        <f t="shared" si="2"/>
        <v>26</v>
      </c>
      <c r="H26" s="762">
        <f t="shared" si="1"/>
        <v>84</v>
      </c>
      <c r="I26" s="762">
        <v>40</v>
      </c>
      <c r="J26" s="762">
        <v>210</v>
      </c>
    </row>
    <row r="27" spans="1:25" s="762" customFormat="1" hidden="1" outlineLevel="1" x14ac:dyDescent="0.25">
      <c r="C27" s="137" t="s">
        <v>108</v>
      </c>
      <c r="D27" s="137"/>
      <c r="E27" s="137"/>
      <c r="F27" s="528">
        <f t="shared" si="0"/>
        <v>4</v>
      </c>
      <c r="G27" s="762">
        <f t="shared" si="2"/>
        <v>32.5</v>
      </c>
      <c r="H27" s="762">
        <f t="shared" si="1"/>
        <v>80</v>
      </c>
      <c r="I27" s="762">
        <v>50</v>
      </c>
      <c r="J27" s="762">
        <v>200</v>
      </c>
      <c r="M27" s="950"/>
      <c r="N27" s="388"/>
    </row>
    <row r="28" spans="1:25" s="762" customFormat="1" hidden="1" outlineLevel="1" x14ac:dyDescent="0.25">
      <c r="C28" s="764" t="s">
        <v>1067</v>
      </c>
      <c r="D28" s="137"/>
      <c r="E28" s="137"/>
      <c r="F28" s="528">
        <f t="shared" si="0"/>
        <v>4.4000000000000004</v>
      </c>
      <c r="G28" s="762">
        <f t="shared" si="2"/>
        <v>32.5</v>
      </c>
      <c r="H28" s="762">
        <f t="shared" si="1"/>
        <v>88</v>
      </c>
      <c r="I28" s="762">
        <v>50</v>
      </c>
      <c r="J28" s="762">
        <v>220</v>
      </c>
      <c r="M28" s="950"/>
      <c r="N28" s="388"/>
    </row>
    <row r="29" spans="1:25" s="762" customFormat="1" hidden="1" outlineLevel="1" x14ac:dyDescent="0.25">
      <c r="C29" s="764" t="s">
        <v>109</v>
      </c>
      <c r="D29" s="137"/>
      <c r="E29" s="137"/>
      <c r="F29" s="528">
        <f t="shared" si="0"/>
        <v>5</v>
      </c>
      <c r="G29" s="762">
        <f t="shared" si="2"/>
        <v>32.5</v>
      </c>
      <c r="H29" s="762">
        <f t="shared" si="1"/>
        <v>100</v>
      </c>
      <c r="I29" s="762">
        <v>50</v>
      </c>
      <c r="J29" s="762">
        <v>250</v>
      </c>
      <c r="M29" s="950"/>
      <c r="N29" s="388"/>
    </row>
    <row r="30" spans="1:25" s="762" customFormat="1" hidden="1" outlineLevel="1" x14ac:dyDescent="0.25">
      <c r="C30" s="764" t="s">
        <v>1072</v>
      </c>
      <c r="D30" s="137"/>
      <c r="E30" s="137"/>
      <c r="F30" s="528">
        <f t="shared" si="0"/>
        <v>3</v>
      </c>
      <c r="G30" s="762">
        <f t="shared" si="2"/>
        <v>39</v>
      </c>
      <c r="H30" s="762">
        <f t="shared" si="1"/>
        <v>72</v>
      </c>
      <c r="I30" s="762">
        <v>60</v>
      </c>
      <c r="J30" s="762">
        <v>180</v>
      </c>
    </row>
    <row r="31" spans="1:25" s="762" customFormat="1" hidden="1" outlineLevel="1" x14ac:dyDescent="0.25">
      <c r="C31" s="230" t="s">
        <v>434</v>
      </c>
      <c r="D31" s="230"/>
      <c r="E31" s="230"/>
      <c r="F31" s="528">
        <f t="shared" si="0"/>
        <v>1</v>
      </c>
      <c r="G31" s="762">
        <f t="shared" si="2"/>
        <v>39</v>
      </c>
      <c r="H31" s="762">
        <f t="shared" si="1"/>
        <v>24</v>
      </c>
      <c r="I31" s="762">
        <v>60</v>
      </c>
      <c r="J31" s="762">
        <v>60</v>
      </c>
    </row>
    <row r="32" spans="1:25" s="762" customFormat="1" hidden="1" outlineLevel="1" x14ac:dyDescent="0.25">
      <c r="C32" s="762" t="s">
        <v>110</v>
      </c>
      <c r="F32" s="528">
        <f t="shared" si="0"/>
        <v>3</v>
      </c>
      <c r="G32" s="762">
        <f t="shared" si="2"/>
        <v>45.5</v>
      </c>
      <c r="H32" s="762">
        <f t="shared" si="1"/>
        <v>84</v>
      </c>
      <c r="I32" s="762">
        <v>70</v>
      </c>
      <c r="J32" s="762">
        <v>210</v>
      </c>
    </row>
    <row r="33" spans="1:16" hidden="1" outlineLevel="1" x14ac:dyDescent="0.25">
      <c r="A33" s="122"/>
      <c r="B33" s="122"/>
      <c r="C33" s="764" t="s">
        <v>1070</v>
      </c>
      <c r="D33" s="137"/>
      <c r="E33" s="137"/>
      <c r="F33" s="139">
        <f t="shared" si="0"/>
        <v>3.2857142857142856</v>
      </c>
      <c r="G33" s="216">
        <f t="shared" si="2"/>
        <v>45.5</v>
      </c>
      <c r="H33" s="216">
        <f t="shared" si="1"/>
        <v>92</v>
      </c>
      <c r="I33" s="216">
        <v>70</v>
      </c>
      <c r="J33" s="216">
        <v>230</v>
      </c>
      <c r="K33" s="122"/>
      <c r="L33" s="122" t="s">
        <v>41</v>
      </c>
      <c r="M33" s="122"/>
      <c r="N33" s="122"/>
      <c r="O33" s="122"/>
      <c r="P33" s="376"/>
    </row>
    <row r="34" spans="1:16" hidden="1" outlineLevel="1" x14ac:dyDescent="0.25">
      <c r="A34" s="122"/>
      <c r="B34" s="122"/>
      <c r="C34" s="762" t="s">
        <v>111</v>
      </c>
      <c r="D34" s="762"/>
      <c r="E34" s="762"/>
      <c r="F34" s="139">
        <f t="shared" si="0"/>
        <v>1.5</v>
      </c>
      <c r="G34" s="216">
        <f t="shared" si="2"/>
        <v>52</v>
      </c>
      <c r="H34" s="216">
        <f t="shared" si="1"/>
        <v>48</v>
      </c>
      <c r="I34" s="216">
        <v>80</v>
      </c>
      <c r="J34" s="216">
        <v>120</v>
      </c>
      <c r="K34" s="122"/>
      <c r="L34" s="122"/>
      <c r="M34" s="122"/>
      <c r="N34" s="122"/>
      <c r="O34" s="122"/>
      <c r="P34" s="122"/>
    </row>
    <row r="35" spans="1:16" hidden="1" outlineLevel="1" x14ac:dyDescent="0.25">
      <c r="A35" s="122"/>
      <c r="B35" s="122"/>
      <c r="C35" s="230" t="s">
        <v>431</v>
      </c>
      <c r="D35" s="230"/>
      <c r="E35" s="230"/>
      <c r="F35" s="139">
        <f t="shared" si="0"/>
        <v>2</v>
      </c>
      <c r="G35" s="216">
        <f t="shared" si="2"/>
        <v>52</v>
      </c>
      <c r="H35" s="216">
        <f t="shared" si="1"/>
        <v>64</v>
      </c>
      <c r="I35" s="216">
        <v>80</v>
      </c>
      <c r="J35" s="216">
        <v>160</v>
      </c>
      <c r="K35" s="122"/>
      <c r="L35" s="122"/>
      <c r="M35" s="122"/>
      <c r="N35" s="122"/>
      <c r="O35" s="122"/>
      <c r="P35" s="122"/>
    </row>
    <row r="36" spans="1:16" hidden="1" outlineLevel="1" x14ac:dyDescent="0.25">
      <c r="A36" s="122"/>
      <c r="B36" s="122"/>
      <c r="C36" s="764" t="s">
        <v>1069</v>
      </c>
      <c r="D36" s="137"/>
      <c r="E36" s="137"/>
      <c r="F36" s="139">
        <f t="shared" si="0"/>
        <v>2.25</v>
      </c>
      <c r="G36" s="216">
        <f t="shared" si="2"/>
        <v>52</v>
      </c>
      <c r="H36" s="216">
        <f t="shared" si="1"/>
        <v>72</v>
      </c>
      <c r="I36" s="216">
        <v>80</v>
      </c>
      <c r="J36" s="216">
        <v>180</v>
      </c>
      <c r="K36" s="122"/>
      <c r="L36" s="122"/>
      <c r="M36" s="122"/>
      <c r="N36" s="122"/>
      <c r="O36" s="122"/>
      <c r="P36" s="122"/>
    </row>
    <row r="37" spans="1:16" hidden="1" outlineLevel="1" x14ac:dyDescent="0.25">
      <c r="A37" s="122"/>
      <c r="B37" s="122"/>
      <c r="C37" s="230" t="s">
        <v>433</v>
      </c>
      <c r="D37" s="230"/>
      <c r="E37" s="230"/>
      <c r="F37" s="139">
        <f t="shared" si="0"/>
        <v>3</v>
      </c>
      <c r="G37" s="216">
        <f t="shared" si="2"/>
        <v>52</v>
      </c>
      <c r="H37" s="216">
        <f t="shared" si="1"/>
        <v>96</v>
      </c>
      <c r="I37" s="216">
        <v>80</v>
      </c>
      <c r="J37" s="216">
        <v>240</v>
      </c>
      <c r="K37" s="122"/>
      <c r="L37" s="122"/>
      <c r="M37" s="122"/>
      <c r="N37" s="122"/>
      <c r="O37" s="122"/>
      <c r="P37" s="122"/>
    </row>
    <row r="38" spans="1:16" hidden="1" outlineLevel="1" x14ac:dyDescent="0.25">
      <c r="A38" s="122"/>
      <c r="B38" s="122"/>
      <c r="C38" s="762" t="s">
        <v>112</v>
      </c>
      <c r="D38" s="762"/>
      <c r="E38" s="762"/>
      <c r="F38" s="139">
        <f t="shared" si="0"/>
        <v>1.5555555555555556</v>
      </c>
      <c r="G38" s="216">
        <f t="shared" si="2"/>
        <v>58.5</v>
      </c>
      <c r="H38" s="216">
        <f t="shared" si="1"/>
        <v>56</v>
      </c>
      <c r="I38" s="216">
        <v>90</v>
      </c>
      <c r="J38" s="216">
        <v>140</v>
      </c>
      <c r="K38" s="122"/>
      <c r="L38" s="122"/>
      <c r="M38" s="122"/>
      <c r="N38" s="122"/>
      <c r="O38" s="122"/>
      <c r="P38" s="122"/>
    </row>
    <row r="39" spans="1:16" hidden="1" outlineLevel="1" x14ac:dyDescent="0.25">
      <c r="C39" s="764" t="s">
        <v>1071</v>
      </c>
      <c r="D39" s="137"/>
      <c r="E39" s="137"/>
      <c r="F39" s="139">
        <f t="shared" si="0"/>
        <v>3</v>
      </c>
      <c r="G39" s="216">
        <f t="shared" si="2"/>
        <v>58.5</v>
      </c>
      <c r="H39" s="216">
        <f t="shared" si="1"/>
        <v>108</v>
      </c>
      <c r="I39" s="216">
        <v>90</v>
      </c>
      <c r="J39" s="216">
        <v>270</v>
      </c>
      <c r="M39" s="122"/>
    </row>
    <row r="40" spans="1:16" ht="18" hidden="1" outlineLevel="1" x14ac:dyDescent="0.35">
      <c r="C40" s="230" t="s">
        <v>1074</v>
      </c>
      <c r="D40" s="230"/>
      <c r="E40" s="230"/>
      <c r="F40" s="528" t="e">
        <f t="shared" si="0"/>
        <v>#DIV/0!</v>
      </c>
      <c r="G40" s="216">
        <f t="shared" si="2"/>
        <v>0</v>
      </c>
      <c r="H40" s="216">
        <f t="shared" si="1"/>
        <v>160</v>
      </c>
      <c r="I40" s="216">
        <v>0</v>
      </c>
      <c r="J40" s="216">
        <v>400</v>
      </c>
      <c r="M40" s="122"/>
    </row>
    <row r="41" spans="1:16" hidden="1" outlineLevel="1" x14ac:dyDescent="0.25">
      <c r="M41" s="122"/>
    </row>
    <row r="42" spans="1:16" ht="21" hidden="1" outlineLevel="1" x14ac:dyDescent="0.25">
      <c r="E42" s="303" t="e">
        <f>IF(L14=0,ABS(L12)/((G14+1.01)/1000),ABS(L14)/(I14/1000))</f>
        <v>#VALUE!</v>
      </c>
      <c r="G42" s="304" t="e">
        <f>ROUND(E42/5,0)*5</f>
        <v>#VALUE!</v>
      </c>
      <c r="M42" s="122"/>
    </row>
    <row r="43" spans="1:16" collapsed="1" x14ac:dyDescent="0.25">
      <c r="M43" s="122"/>
    </row>
    <row r="44" spans="1:16" x14ac:dyDescent="0.25">
      <c r="M44" s="122"/>
    </row>
    <row r="45" spans="1:16" x14ac:dyDescent="0.25">
      <c r="M45" s="122"/>
    </row>
    <row r="46" spans="1:16" x14ac:dyDescent="0.25">
      <c r="M46" s="122"/>
    </row>
    <row r="47" spans="1:16" x14ac:dyDescent="0.25">
      <c r="M47" s="122"/>
    </row>
    <row r="48" spans="1:16" x14ac:dyDescent="0.25">
      <c r="M48" s="122"/>
    </row>
    <row r="49" spans="13:13" x14ac:dyDescent="0.25">
      <c r="M49" s="122"/>
    </row>
    <row r="50" spans="13:13" x14ac:dyDescent="0.25">
      <c r="M50" s="122"/>
    </row>
    <row r="51" spans="13:13" x14ac:dyDescent="0.25">
      <c r="M51" s="122"/>
    </row>
    <row r="52" spans="13:13" x14ac:dyDescent="0.25">
      <c r="M52" s="122"/>
    </row>
  </sheetData>
  <protectedRanges>
    <protectedRange sqref="C8:E8" name="Plage2"/>
    <protectedRange sqref="C12" name="Plage4"/>
  </protectedRanges>
  <sortState ref="C20:J40">
    <sortCondition ref="C20:C40"/>
  </sortState>
  <mergeCells count="17">
    <mergeCell ref="Q6:R6"/>
    <mergeCell ref="I4:R4"/>
    <mergeCell ref="B2:R2"/>
    <mergeCell ref="B1:R1"/>
    <mergeCell ref="B6:L6"/>
    <mergeCell ref="B3:H3"/>
    <mergeCell ref="C16:L16"/>
    <mergeCell ref="C8:E8"/>
    <mergeCell ref="C7:E7"/>
    <mergeCell ref="B11:J11"/>
    <mergeCell ref="G8:J8"/>
    <mergeCell ref="G7:J7"/>
    <mergeCell ref="G14:H14"/>
    <mergeCell ref="I14:J14"/>
    <mergeCell ref="G12:J12"/>
    <mergeCell ref="G13:H13"/>
    <mergeCell ref="I13:J13"/>
  </mergeCells>
  <conditionalFormatting sqref="P11">
    <cfRule type="iconSet" priority="5">
      <iconSet iconSet="3TrafficLights2" showValue="0">
        <cfvo type="percent" val="0"/>
        <cfvo type="num" val="0.75"/>
        <cfvo type="num" val="0.95"/>
      </iconSet>
    </cfRule>
  </conditionalFormatting>
  <conditionalFormatting sqref="R11">
    <cfRule type="iconSet" priority="3">
      <iconSet iconSet="3TrafficLights2" showValue="0">
        <cfvo type="percent" val="0"/>
        <cfvo type="num" val="0.75"/>
        <cfvo type="num" val="0.95"/>
      </iconSet>
    </cfRule>
  </conditionalFormatting>
  <conditionalFormatting sqref="P16">
    <cfRule type="iconSet" priority="2">
      <iconSet iconSet="3TrafficLights2" showValue="0">
        <cfvo type="percent" val="0"/>
        <cfvo type="num" val="0.75"/>
        <cfvo type="num" val="0.95"/>
      </iconSet>
    </cfRule>
  </conditionalFormatting>
  <conditionalFormatting sqref="R16">
    <cfRule type="iconSet" priority="1">
      <iconSet iconSet="3TrafficLights2" showValue="0">
        <cfvo type="percent" val="0"/>
        <cfvo type="num" val="0.75"/>
        <cfvo type="num" val="0.95"/>
      </iconSet>
    </cfRule>
  </conditionalFormatting>
  <dataValidations count="1">
    <dataValidation type="list" allowBlank="1" showInputMessage="1" showErrorMessage="1" sqref="C8:E8">
      <formula1>$C$20:$C$40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Spinner 1">
              <controlPr defaultSize="0" autoPict="0">
                <anchor moveWithCells="1" sizeWithCells="1">
                  <from>
                    <xdr:col>1</xdr:col>
                    <xdr:colOff>314325</xdr:colOff>
                    <xdr:row>11</xdr:row>
                    <xdr:rowOff>0</xdr:rowOff>
                  </from>
                  <to>
                    <xdr:col>2</xdr:col>
                    <xdr:colOff>19050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pageSetUpPr fitToPage="1"/>
  </sheetPr>
  <dimension ref="A1:T74"/>
  <sheetViews>
    <sheetView showGridLines="0" showRowColHeaders="0" topLeftCell="A7" zoomScaleNormal="100" workbookViewId="0"/>
  </sheetViews>
  <sheetFormatPr defaultColWidth="11.42578125" defaultRowHeight="15" outlineLevelRow="1" x14ac:dyDescent="0.25"/>
  <cols>
    <col min="1" max="1" width="2.7109375" style="122" customWidth="1"/>
    <col min="2" max="2" width="2.42578125" customWidth="1"/>
    <col min="3" max="3" width="5.28515625" customWidth="1"/>
    <col min="4" max="4" width="24.28515625" customWidth="1"/>
    <col min="5" max="5" width="4.85546875" style="122" customWidth="1"/>
    <col min="6" max="6" width="7" hidden="1" customWidth="1"/>
    <col min="7" max="7" width="7.85546875" customWidth="1"/>
    <col min="8" max="8" width="7.140625" customWidth="1"/>
    <col min="9" max="9" width="6.85546875" style="122" customWidth="1"/>
    <col min="10" max="10" width="3.85546875" style="122" customWidth="1"/>
    <col min="11" max="11" width="13" customWidth="1"/>
    <col min="12" max="12" width="4.28515625" style="216" customWidth="1"/>
    <col min="13" max="13" width="15.42578125" customWidth="1"/>
    <col min="14" max="14" width="3.5703125" customWidth="1"/>
    <col min="15" max="15" width="3.140625" customWidth="1"/>
    <col min="16" max="16" width="2" customWidth="1"/>
    <col min="17" max="17" width="11.42578125" customWidth="1"/>
    <col min="18" max="18" width="3.7109375" customWidth="1"/>
    <col min="19" max="19" width="1.85546875" customWidth="1"/>
    <col min="20" max="20" width="3.140625" customWidth="1"/>
  </cols>
  <sheetData>
    <row r="1" spans="1:20" ht="55.5" customHeight="1" x14ac:dyDescent="0.25">
      <c r="A1" s="342"/>
      <c r="B1" s="1107" t="s">
        <v>1275</v>
      </c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1107"/>
      <c r="Q1" s="1107"/>
      <c r="R1" s="1107"/>
      <c r="S1" s="1107"/>
      <c r="T1" s="342"/>
    </row>
    <row r="2" spans="1:20" ht="25.5" customHeight="1" x14ac:dyDescent="0.25">
      <c r="A2" s="329"/>
      <c r="B2" s="1195" t="s">
        <v>869</v>
      </c>
      <c r="C2" s="1196"/>
      <c r="D2" s="1196"/>
      <c r="E2" s="1196"/>
      <c r="F2" s="1196"/>
      <c r="G2" s="1196"/>
      <c r="H2" s="1196"/>
      <c r="I2" s="1196"/>
      <c r="J2" s="1196"/>
      <c r="K2" s="1196"/>
      <c r="L2" s="1196"/>
      <c r="M2" s="1196"/>
      <c r="N2" s="1196"/>
      <c r="O2" s="1196"/>
      <c r="P2" s="1196"/>
      <c r="Q2" s="1196"/>
      <c r="R2" s="1196"/>
      <c r="S2" s="1197"/>
      <c r="T2" s="329"/>
    </row>
    <row r="3" spans="1:20" ht="15" customHeight="1" x14ac:dyDescent="0.25">
      <c r="A3" s="329"/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</row>
    <row r="4" spans="1:20" s="122" customFormat="1" ht="26.25" customHeight="1" x14ac:dyDescent="0.25">
      <c r="A4" s="329"/>
      <c r="B4" s="358"/>
      <c r="C4" s="338"/>
      <c r="D4" s="338"/>
      <c r="E4" s="338"/>
      <c r="F4" s="338"/>
      <c r="G4" s="338"/>
      <c r="H4" s="338"/>
      <c r="I4" s="1086" t="s">
        <v>1190</v>
      </c>
      <c r="J4" s="1086"/>
      <c r="K4" s="1086"/>
      <c r="L4" s="1086"/>
      <c r="M4" s="1086"/>
      <c r="N4" s="1086"/>
      <c r="O4" s="1086"/>
      <c r="P4" s="1086"/>
      <c r="Q4" s="1086"/>
      <c r="R4" s="338"/>
      <c r="S4" s="361"/>
      <c r="T4" s="329"/>
    </row>
    <row r="5" spans="1:20" ht="15" customHeight="1" x14ac:dyDescent="0.25">
      <c r="A5" s="329"/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</row>
    <row r="6" spans="1:20" s="122" customFormat="1" ht="11.25" customHeight="1" thickBot="1" x14ac:dyDescent="0.3">
      <c r="A6" s="329"/>
      <c r="B6" s="336"/>
      <c r="C6" s="810"/>
      <c r="D6" s="810"/>
      <c r="E6" s="810"/>
      <c r="F6" s="810"/>
      <c r="G6" s="810"/>
      <c r="H6" s="810"/>
      <c r="I6" s="810"/>
      <c r="J6" s="1221"/>
      <c r="K6" s="1221"/>
      <c r="L6" s="1221"/>
      <c r="M6" s="1221"/>
      <c r="N6" s="1221"/>
      <c r="O6" s="1221"/>
      <c r="P6" s="1221"/>
      <c r="Q6" s="1221"/>
      <c r="R6" s="810"/>
      <c r="S6" s="331"/>
      <c r="T6" s="329"/>
    </row>
    <row r="7" spans="1:20" ht="21" customHeight="1" x14ac:dyDescent="0.25">
      <c r="A7" s="329"/>
      <c r="B7" s="343"/>
      <c r="C7" s="1140" t="s">
        <v>989</v>
      </c>
      <c r="D7" s="1140"/>
      <c r="E7" s="808"/>
      <c r="F7" s="328"/>
      <c r="G7" s="1217"/>
      <c r="H7" s="1218"/>
      <c r="I7" s="809"/>
      <c r="J7" s="1204" t="str">
        <f>ANIMAL!E11</f>
        <v>Brebis  70 kg   Gestante    Double      Semaines - 3 à - 4</v>
      </c>
      <c r="K7" s="1204"/>
      <c r="L7" s="1204"/>
      <c r="M7" s="1204"/>
      <c r="N7" s="1205" t="s">
        <v>1191</v>
      </c>
      <c r="O7" s="1205"/>
      <c r="P7" s="1205"/>
      <c r="Q7" s="1205"/>
      <c r="R7" s="1205"/>
      <c r="S7" s="332"/>
      <c r="T7" s="329"/>
    </row>
    <row r="8" spans="1:20" ht="18" customHeight="1" thickBot="1" x14ac:dyDescent="0.3">
      <c r="A8" s="329"/>
      <c r="B8" s="343"/>
      <c r="C8" s="1140"/>
      <c r="D8" s="1140"/>
      <c r="E8" s="808"/>
      <c r="F8" s="526" t="s">
        <v>511</v>
      </c>
      <c r="G8" s="1219"/>
      <c r="H8" s="1220"/>
      <c r="I8" s="809"/>
      <c r="J8" s="1204"/>
      <c r="K8" s="1204"/>
      <c r="L8" s="1204"/>
      <c r="M8" s="1204"/>
      <c r="N8" s="1205"/>
      <c r="O8" s="1205"/>
      <c r="P8" s="1205"/>
      <c r="Q8" s="1205"/>
      <c r="R8" s="1205"/>
      <c r="S8" s="332"/>
      <c r="T8" s="329"/>
    </row>
    <row r="9" spans="1:20" ht="16.5" customHeight="1" thickBot="1" x14ac:dyDescent="0.3">
      <c r="A9" s="329"/>
      <c r="B9" s="343"/>
      <c r="C9" s="808"/>
      <c r="D9" s="808"/>
      <c r="E9" s="808"/>
      <c r="F9" s="526"/>
      <c r="G9" s="809"/>
      <c r="H9" s="809"/>
      <c r="I9" s="809"/>
      <c r="J9" s="1204"/>
      <c r="K9" s="1204"/>
      <c r="L9" s="1204"/>
      <c r="M9" s="1204"/>
      <c r="N9" s="1205"/>
      <c r="O9" s="1205"/>
      <c r="P9" s="1205"/>
      <c r="Q9" s="1205"/>
      <c r="R9" s="1205"/>
      <c r="S9" s="332"/>
      <c r="T9" s="329"/>
    </row>
    <row r="10" spans="1:20" s="122" customFormat="1" ht="20.25" customHeight="1" x14ac:dyDescent="0.25">
      <c r="A10" s="329"/>
      <c r="B10" s="343"/>
      <c r="C10" s="1198" t="s">
        <v>1189</v>
      </c>
      <c r="D10" s="1198"/>
      <c r="E10" s="526"/>
      <c r="F10" s="526"/>
      <c r="G10" s="1213"/>
      <c r="H10" s="1214"/>
      <c r="I10" s="809"/>
      <c r="J10" s="1204"/>
      <c r="K10" s="1204"/>
      <c r="L10" s="1204"/>
      <c r="M10" s="1204"/>
      <c r="N10" s="811"/>
      <c r="O10" s="811"/>
      <c r="P10" s="1206" t="str">
        <f>IF(G7="","",(M32/G7)/G10)</f>
        <v/>
      </c>
      <c r="Q10" s="1206"/>
      <c r="R10" s="811"/>
      <c r="S10" s="332"/>
      <c r="T10" s="329"/>
    </row>
    <row r="11" spans="1:20" s="122" customFormat="1" ht="18" customHeight="1" thickBot="1" x14ac:dyDescent="0.3">
      <c r="A11" s="329"/>
      <c r="B11" s="343"/>
      <c r="C11" s="1198"/>
      <c r="D11" s="1198"/>
      <c r="E11" s="526"/>
      <c r="F11" s="526" t="s">
        <v>511</v>
      </c>
      <c r="G11" s="1215"/>
      <c r="H11" s="1216"/>
      <c r="I11" s="809"/>
      <c r="J11" s="1204"/>
      <c r="K11" s="1204"/>
      <c r="L11" s="1204"/>
      <c r="M11" s="1204"/>
      <c r="N11" s="811"/>
      <c r="O11" s="811"/>
      <c r="P11" s="1206"/>
      <c r="Q11" s="1206"/>
      <c r="R11" s="811"/>
      <c r="S11" s="332"/>
      <c r="T11" s="329"/>
    </row>
    <row r="12" spans="1:20" ht="12" customHeight="1" x14ac:dyDescent="0.25">
      <c r="A12" s="329"/>
      <c r="B12" s="335"/>
      <c r="C12" s="333"/>
      <c r="D12" s="333"/>
      <c r="E12" s="333"/>
      <c r="F12" s="333"/>
      <c r="G12" s="333"/>
      <c r="H12" s="345"/>
      <c r="I12" s="345"/>
      <c r="J12" s="345"/>
      <c r="K12" s="333"/>
      <c r="L12" s="333"/>
      <c r="M12" s="333"/>
      <c r="N12" s="333"/>
      <c r="O12" s="333"/>
      <c r="P12" s="333"/>
      <c r="Q12" s="333"/>
      <c r="R12" s="333"/>
      <c r="S12" s="334"/>
      <c r="T12" s="329"/>
    </row>
    <row r="13" spans="1:20" ht="15" customHeight="1" x14ac:dyDescent="0.25">
      <c r="A13" s="329"/>
      <c r="B13" s="329"/>
      <c r="C13" s="329"/>
      <c r="D13" s="329"/>
      <c r="E13" s="329"/>
      <c r="F13" s="329"/>
      <c r="G13" s="329"/>
      <c r="H13" s="347"/>
      <c r="I13" s="347"/>
      <c r="J13" s="347"/>
      <c r="K13" s="329"/>
      <c r="L13" s="329"/>
      <c r="M13" s="329"/>
      <c r="N13" s="329"/>
      <c r="O13" s="329"/>
      <c r="P13" s="363"/>
      <c r="Q13" s="363"/>
      <c r="R13" s="363"/>
      <c r="S13" s="363"/>
      <c r="T13" s="329"/>
    </row>
    <row r="14" spans="1:20" s="122" customFormat="1" ht="37.5" customHeight="1" x14ac:dyDescent="0.25">
      <c r="A14" s="329"/>
      <c r="B14" s="336"/>
      <c r="C14" s="1222" t="s">
        <v>512</v>
      </c>
      <c r="D14" s="1222"/>
      <c r="E14" s="1222"/>
      <c r="F14" s="1222"/>
      <c r="G14" s="1222"/>
      <c r="H14" s="1222"/>
      <c r="I14" s="1222"/>
      <c r="J14" s="1222"/>
      <c r="K14" s="1222"/>
      <c r="L14" s="1222"/>
      <c r="M14" s="1222"/>
      <c r="N14" s="331"/>
      <c r="O14" s="332"/>
      <c r="P14" s="1223" t="s">
        <v>513</v>
      </c>
      <c r="Q14" s="1224"/>
      <c r="R14" s="1224"/>
      <c r="S14" s="1225"/>
      <c r="T14" s="343"/>
    </row>
    <row r="15" spans="1:20" s="216" customFormat="1" ht="26.25" customHeight="1" x14ac:dyDescent="0.25">
      <c r="A15" s="329"/>
      <c r="B15" s="343"/>
      <c r="C15" s="1203" t="str">
        <f>IF(FOURRAGE!C9="","",FOURRAGE!E9)</f>
        <v/>
      </c>
      <c r="D15" s="1203"/>
      <c r="E15" s="1203"/>
      <c r="F15" s="1203"/>
      <c r="G15" s="1203"/>
      <c r="H15" s="1203"/>
      <c r="I15" s="1203"/>
      <c r="J15" s="344"/>
      <c r="K15" s="1199" t="str">
        <f>IF(C15="","",(G7*G10*FOURRAGE!L10)/1000)</f>
        <v/>
      </c>
      <c r="L15" s="1199"/>
      <c r="M15" s="1200" t="s">
        <v>458</v>
      </c>
      <c r="N15" s="332"/>
      <c r="O15" s="328"/>
      <c r="P15" s="343"/>
      <c r="Q15" s="1201" t="str">
        <f>IF(K15="","",IF(K15=0,0,K15/(SUM($K$15,$K$18,$H$26,$H$28,$H$30))*1000))</f>
        <v/>
      </c>
      <c r="R15" s="1202" t="s">
        <v>80</v>
      </c>
      <c r="S15" s="332"/>
      <c r="T15" s="329"/>
    </row>
    <row r="16" spans="1:20" s="216" customFormat="1" ht="12" customHeight="1" x14ac:dyDescent="0.25">
      <c r="A16" s="329"/>
      <c r="B16" s="343"/>
      <c r="C16" s="1203"/>
      <c r="D16" s="1203"/>
      <c r="E16" s="1203"/>
      <c r="F16" s="1203"/>
      <c r="G16" s="1203"/>
      <c r="H16" s="1203"/>
      <c r="I16" s="1203"/>
      <c r="J16" s="344"/>
      <c r="K16" s="1199"/>
      <c r="L16" s="1199"/>
      <c r="M16" s="1200"/>
      <c r="N16" s="332"/>
      <c r="O16" s="328"/>
      <c r="P16" s="343"/>
      <c r="Q16" s="1201"/>
      <c r="R16" s="1202"/>
      <c r="S16" s="332"/>
      <c r="T16" s="329"/>
    </row>
    <row r="17" spans="1:20" s="216" customFormat="1" ht="15.75" customHeight="1" x14ac:dyDescent="0.25">
      <c r="A17" s="329"/>
      <c r="B17" s="343"/>
      <c r="C17" s="328"/>
      <c r="D17" s="328"/>
      <c r="E17" s="328"/>
      <c r="F17" s="328"/>
      <c r="G17" s="328"/>
      <c r="H17" s="344"/>
      <c r="I17" s="344"/>
      <c r="J17" s="344"/>
      <c r="K17" s="328"/>
      <c r="L17" s="328"/>
      <c r="M17" s="328"/>
      <c r="N17" s="332"/>
      <c r="O17" s="328"/>
      <c r="P17" s="343"/>
      <c r="Q17" s="392"/>
      <c r="R17" s="393"/>
      <c r="S17" s="332"/>
      <c r="T17" s="329"/>
    </row>
    <row r="18" spans="1:20" ht="26.25" customHeight="1" x14ac:dyDescent="0.25">
      <c r="A18" s="329"/>
      <c r="B18" s="343"/>
      <c r="C18" s="1203" t="str">
        <f>IF(FOURRAGE!C23="","",FOURRAGE!E23)</f>
        <v/>
      </c>
      <c r="D18" s="1203"/>
      <c r="E18" s="1203"/>
      <c r="F18" s="1203"/>
      <c r="G18" s="1203"/>
      <c r="H18" s="1203"/>
      <c r="I18" s="1203"/>
      <c r="J18" s="344"/>
      <c r="K18" s="1199" t="str">
        <f>IF(C18="","",(G7*G10*FOURRAGE!L24)/1000)</f>
        <v/>
      </c>
      <c r="L18" s="1199"/>
      <c r="M18" s="1200" t="s">
        <v>458</v>
      </c>
      <c r="N18" s="332"/>
      <c r="O18" s="328"/>
      <c r="P18" s="343"/>
      <c r="Q18" s="1201" t="str">
        <f>IF(K18="","",IF(K18=0,0,K18/(SUM($K$15,$K$18,$H$26,$H$28,$H$30))*1000))</f>
        <v/>
      </c>
      <c r="R18" s="1202" t="s">
        <v>80</v>
      </c>
      <c r="S18" s="332"/>
      <c r="T18" s="329"/>
    </row>
    <row r="19" spans="1:20" s="122" customFormat="1" ht="12" customHeight="1" x14ac:dyDescent="0.25">
      <c r="A19" s="329"/>
      <c r="B19" s="343"/>
      <c r="C19" s="1203"/>
      <c r="D19" s="1203"/>
      <c r="E19" s="1203"/>
      <c r="F19" s="1203"/>
      <c r="G19" s="1203"/>
      <c r="H19" s="1203"/>
      <c r="I19" s="1203"/>
      <c r="J19" s="344"/>
      <c r="K19" s="1199"/>
      <c r="L19" s="1199"/>
      <c r="M19" s="1200"/>
      <c r="N19" s="332"/>
      <c r="O19" s="328"/>
      <c r="P19" s="343"/>
      <c r="Q19" s="1201"/>
      <c r="R19" s="1202"/>
      <c r="S19" s="332"/>
      <c r="T19" s="329"/>
    </row>
    <row r="20" spans="1:20" ht="15" customHeight="1" x14ac:dyDescent="0.25">
      <c r="A20" s="329"/>
      <c r="B20" s="335"/>
      <c r="C20" s="333"/>
      <c r="D20" s="333"/>
      <c r="E20" s="333"/>
      <c r="F20" s="333"/>
      <c r="G20" s="333"/>
      <c r="H20" s="345"/>
      <c r="I20" s="345"/>
      <c r="J20" s="345"/>
      <c r="K20" s="333"/>
      <c r="L20" s="333"/>
      <c r="M20" s="333"/>
      <c r="N20" s="334"/>
      <c r="O20" s="328"/>
      <c r="P20" s="343"/>
      <c r="Q20" s="355"/>
      <c r="R20" s="362"/>
      <c r="S20" s="332"/>
      <c r="T20" s="329"/>
    </row>
    <row r="21" spans="1:20" ht="15" customHeight="1" x14ac:dyDescent="0.25">
      <c r="A21" s="329"/>
      <c r="B21" s="328"/>
      <c r="C21" s="328"/>
      <c r="D21" s="328"/>
      <c r="E21" s="328"/>
      <c r="F21" s="328"/>
      <c r="G21" s="328"/>
      <c r="H21" s="344"/>
      <c r="I21" s="344"/>
      <c r="J21" s="344"/>
      <c r="K21" s="328"/>
      <c r="L21" s="328"/>
      <c r="M21" s="328"/>
      <c r="N21" s="328"/>
      <c r="O21" s="328"/>
      <c r="P21" s="343"/>
      <c r="Q21" s="1095" t="s">
        <v>518</v>
      </c>
      <c r="R21" s="1095"/>
      <c r="S21" s="332"/>
      <c r="T21" s="329"/>
    </row>
    <row r="22" spans="1:20" ht="10.5" customHeight="1" x14ac:dyDescent="0.25">
      <c r="A22" s="329"/>
      <c r="B22" s="336"/>
      <c r="C22" s="330"/>
      <c r="D22" s="330"/>
      <c r="E22" s="330"/>
      <c r="F22" s="330"/>
      <c r="G22" s="330"/>
      <c r="H22" s="348"/>
      <c r="I22" s="348"/>
      <c r="J22" s="348"/>
      <c r="K22" s="330"/>
      <c r="L22" s="330"/>
      <c r="M22" s="330"/>
      <c r="N22" s="331"/>
      <c r="O22" s="328"/>
      <c r="P22" s="343"/>
      <c r="Q22" s="1095"/>
      <c r="R22" s="1095"/>
      <c r="S22" s="332"/>
      <c r="T22" s="329"/>
    </row>
    <row r="23" spans="1:20" ht="18.75" customHeight="1" x14ac:dyDescent="0.25">
      <c r="A23" s="329"/>
      <c r="B23" s="343"/>
      <c r="C23" s="1211" t="s">
        <v>113</v>
      </c>
      <c r="D23" s="1211"/>
      <c r="E23" s="1211"/>
      <c r="F23" s="328"/>
      <c r="G23" s="1210" t="s">
        <v>140</v>
      </c>
      <c r="H23" s="1210" t="s">
        <v>141</v>
      </c>
      <c r="I23" s="1210"/>
      <c r="J23" s="1210"/>
      <c r="K23" s="815" t="s">
        <v>530</v>
      </c>
      <c r="L23" s="813"/>
      <c r="M23" s="1209" t="s">
        <v>142</v>
      </c>
      <c r="N23" s="332"/>
      <c r="O23" s="328"/>
      <c r="P23" s="343"/>
      <c r="Q23" s="1208">
        <f>SUM(Q26,Q28,Q30)/1000</f>
        <v>0</v>
      </c>
      <c r="R23" s="1208"/>
      <c r="S23" s="332"/>
      <c r="T23" s="329"/>
    </row>
    <row r="24" spans="1:20" ht="15" customHeight="1" x14ac:dyDescent="0.25">
      <c r="A24" s="329"/>
      <c r="B24" s="343"/>
      <c r="C24" s="1211"/>
      <c r="D24" s="1211"/>
      <c r="E24" s="1211"/>
      <c r="F24" s="328"/>
      <c r="G24" s="1210"/>
      <c r="H24" s="1210"/>
      <c r="I24" s="1210"/>
      <c r="J24" s="1210"/>
      <c r="K24" s="814" t="s">
        <v>1193</v>
      </c>
      <c r="L24" s="813"/>
      <c r="M24" s="1209"/>
      <c r="N24" s="332"/>
      <c r="O24" s="328"/>
      <c r="P24" s="343"/>
      <c r="Q24" s="1208"/>
      <c r="R24" s="1208"/>
      <c r="S24" s="332"/>
      <c r="T24" s="329"/>
    </row>
    <row r="25" spans="1:20" ht="11.25" customHeight="1" x14ac:dyDescent="0.25">
      <c r="A25" s="329"/>
      <c r="B25" s="343"/>
      <c r="C25" s="328"/>
      <c r="D25" s="328"/>
      <c r="E25" s="328"/>
      <c r="F25" s="328"/>
      <c r="G25" s="349"/>
      <c r="H25" s="349"/>
      <c r="I25" s="349"/>
      <c r="J25" s="349"/>
      <c r="K25" s="328"/>
      <c r="L25" s="328"/>
      <c r="M25" s="328"/>
      <c r="N25" s="332"/>
      <c r="O25" s="328"/>
      <c r="P25" s="343"/>
      <c r="Q25" s="355"/>
      <c r="R25" s="393"/>
      <c r="S25" s="332"/>
      <c r="T25" s="329"/>
    </row>
    <row r="26" spans="1:20" ht="21" x14ac:dyDescent="0.25">
      <c r="A26" s="329"/>
      <c r="B26" s="343"/>
      <c r="C26" s="1212" t="str">
        <f>IF(CONCENTRE!C10="","",CONCENTRE!C10)</f>
        <v/>
      </c>
      <c r="D26" s="1115"/>
      <c r="E26" s="346"/>
      <c r="F26" s="350"/>
      <c r="G26" s="359" t="str">
        <f>IF(CONCENTRE!K9="","",CONCENTRE!K9)</f>
        <v/>
      </c>
      <c r="H26" s="427" t="str">
        <f>IF(G26="","",(G26*$G$10*$G$7)/1000)</f>
        <v/>
      </c>
      <c r="I26" s="354" t="s">
        <v>143</v>
      </c>
      <c r="J26" s="354"/>
      <c r="K26" s="423"/>
      <c r="L26" s="360" t="s">
        <v>457</v>
      </c>
      <c r="M26" s="378" t="str">
        <f>IF(G26="","",K26*H26)</f>
        <v/>
      </c>
      <c r="N26" s="332"/>
      <c r="O26" s="328"/>
      <c r="P26" s="343"/>
      <c r="Q26" s="395">
        <f>IF(K26=0,0,IF(M26="",0,H26/(SUM($K$15,$K$18,$H$26,$H$28,$H$30))*1000))</f>
        <v>0</v>
      </c>
      <c r="R26" s="394" t="s">
        <v>80</v>
      </c>
      <c r="S26" s="332"/>
      <c r="T26" s="329"/>
    </row>
    <row r="27" spans="1:20" ht="15" customHeight="1" x14ac:dyDescent="0.25">
      <c r="A27" s="329"/>
      <c r="B27" s="343"/>
      <c r="C27" s="344"/>
      <c r="D27" s="344"/>
      <c r="E27" s="344"/>
      <c r="F27" s="328"/>
      <c r="G27" s="344"/>
      <c r="H27" s="428"/>
      <c r="I27" s="351"/>
      <c r="J27" s="351"/>
      <c r="K27" s="424"/>
      <c r="L27" s="352"/>
      <c r="M27" s="353"/>
      <c r="N27" s="332"/>
      <c r="O27" s="328"/>
      <c r="P27" s="343"/>
      <c r="Q27" s="379"/>
      <c r="R27" s="393"/>
      <c r="S27" s="332"/>
      <c r="T27" s="329"/>
    </row>
    <row r="28" spans="1:20" ht="21" x14ac:dyDescent="0.25">
      <c r="A28" s="329"/>
      <c r="B28" s="343"/>
      <c r="C28" s="1212" t="str">
        <f>IF(CONCENTRE!C17="","",CONCENTRE!C17)</f>
        <v/>
      </c>
      <c r="D28" s="1115"/>
      <c r="E28" s="346"/>
      <c r="F28" s="350"/>
      <c r="G28" s="359" t="str">
        <f>IF(CONCENTRE!K16="","",CONCENTRE!K16)</f>
        <v/>
      </c>
      <c r="H28" s="427" t="str">
        <f>IF(G28="","",(G28*$G$10*$G$7)/1000)</f>
        <v/>
      </c>
      <c r="I28" s="354" t="s">
        <v>143</v>
      </c>
      <c r="J28" s="354"/>
      <c r="K28" s="423"/>
      <c r="L28" s="360" t="s">
        <v>457</v>
      </c>
      <c r="M28" s="378" t="str">
        <f>IF(G28="","",K28*H28)</f>
        <v/>
      </c>
      <c r="N28" s="332"/>
      <c r="O28" s="328"/>
      <c r="P28" s="343"/>
      <c r="Q28" s="395">
        <f>IF(K28=0,0,IF(M28="",0,H28/(SUM($K$15,$K$18,$H$26,$H$28,$H$30))*1000))</f>
        <v>0</v>
      </c>
      <c r="R28" s="394" t="s">
        <v>80</v>
      </c>
      <c r="S28" s="332"/>
      <c r="T28" s="329"/>
    </row>
    <row r="29" spans="1:20" x14ac:dyDescent="0.25">
      <c r="A29" s="329"/>
      <c r="B29" s="343"/>
      <c r="C29" s="328"/>
      <c r="D29" s="328"/>
      <c r="E29" s="328"/>
      <c r="F29" s="328"/>
      <c r="G29" s="328"/>
      <c r="H29" s="429"/>
      <c r="I29" s="356"/>
      <c r="J29" s="356"/>
      <c r="K29" s="425"/>
      <c r="L29" s="328"/>
      <c r="M29" s="328"/>
      <c r="N29" s="332"/>
      <c r="O29" s="328"/>
      <c r="P29" s="343"/>
      <c r="Q29" s="379"/>
      <c r="R29" s="393"/>
      <c r="S29" s="332"/>
      <c r="T29" s="329"/>
    </row>
    <row r="30" spans="1:20" ht="21" customHeight="1" x14ac:dyDescent="0.25">
      <c r="A30" s="329"/>
      <c r="B30" s="343"/>
      <c r="C30" s="1115" t="str">
        <f>IF(CMV!C8="","",CMV!C8)</f>
        <v/>
      </c>
      <c r="D30" s="1115"/>
      <c r="E30" s="346"/>
      <c r="F30" s="350"/>
      <c r="G30" s="397" t="str">
        <f>IF(CMV!C12="","",CMV!C12/1000)</f>
        <v/>
      </c>
      <c r="H30" s="427" t="str">
        <f>IF(G30="","",(G30*$G$10*$G$7)/1000)</f>
        <v/>
      </c>
      <c r="I30" s="380" t="s">
        <v>143</v>
      </c>
      <c r="J30" s="357"/>
      <c r="K30" s="426"/>
      <c r="L30" s="386" t="s">
        <v>457</v>
      </c>
      <c r="M30" s="378" t="str">
        <f>IF(G30="","",K30*H30)</f>
        <v/>
      </c>
      <c r="N30" s="332"/>
      <c r="O30" s="328"/>
      <c r="P30" s="343"/>
      <c r="Q30" s="395">
        <f>IF(K30=0,0,IF(M30="",0,H30/(SUM($K$15,$K$18,$H$26,$H$28,$H$30))*1000))</f>
        <v>0</v>
      </c>
      <c r="R30" s="394" t="s">
        <v>80</v>
      </c>
      <c r="S30" s="332"/>
      <c r="T30" s="329"/>
    </row>
    <row r="31" spans="1:20" ht="15" customHeight="1" x14ac:dyDescent="0.25">
      <c r="A31" s="329"/>
      <c r="B31" s="343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32"/>
      <c r="O31" s="328"/>
      <c r="P31" s="343"/>
      <c r="Q31" s="379"/>
      <c r="R31" s="362"/>
      <c r="S31" s="332"/>
      <c r="T31" s="329"/>
    </row>
    <row r="32" spans="1:20" ht="30" customHeight="1" x14ac:dyDescent="0.25">
      <c r="A32" s="329"/>
      <c r="B32" s="343"/>
      <c r="C32" s="1207" t="s">
        <v>1192</v>
      </c>
      <c r="D32" s="1207"/>
      <c r="E32" s="1207"/>
      <c r="F32" s="1207"/>
      <c r="G32" s="1207"/>
      <c r="H32" s="1207"/>
      <c r="I32" s="1207"/>
      <c r="J32" s="1207"/>
      <c r="K32" s="1207"/>
      <c r="L32" s="1207"/>
      <c r="M32" s="812" t="str">
        <f>IF($G$7="","",SUM(M26,M28,M30))</f>
        <v/>
      </c>
      <c r="N32" s="332"/>
      <c r="O32" s="328"/>
      <c r="P32" s="343"/>
      <c r="Q32" s="391">
        <f>SUM(Q30,Q28,Q26,Q18,Q15)</f>
        <v>0</v>
      </c>
      <c r="R32" s="396" t="s">
        <v>80</v>
      </c>
      <c r="S32" s="332"/>
      <c r="T32" s="329"/>
    </row>
    <row r="33" spans="1:20" ht="15" customHeight="1" x14ac:dyDescent="0.25">
      <c r="A33" s="329"/>
      <c r="B33" s="335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4"/>
      <c r="O33" s="328"/>
      <c r="P33" s="335"/>
      <c r="Q33" s="333"/>
      <c r="R33" s="333"/>
      <c r="S33" s="334"/>
      <c r="T33" s="329"/>
    </row>
    <row r="34" spans="1:20" ht="15" customHeight="1" x14ac:dyDescent="0.25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</row>
    <row r="35" spans="1:20" x14ac:dyDescent="0.25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</row>
    <row r="36" spans="1:20" x14ac:dyDescent="0.25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</row>
    <row r="37" spans="1:20" x14ac:dyDescent="0.25">
      <c r="A37" s="326"/>
      <c r="B37" s="326"/>
      <c r="C37" s="326"/>
      <c r="D37" s="326"/>
      <c r="E37" s="376" t="str">
        <f>Q15</f>
        <v/>
      </c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</row>
    <row r="38" spans="1:20" hidden="1" outlineLevel="1" x14ac:dyDescent="0.25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</row>
    <row r="39" spans="1:20" hidden="1" outlineLevel="1" x14ac:dyDescent="0.25">
      <c r="A39" s="327"/>
      <c r="B39" s="327"/>
      <c r="C39" s="327"/>
      <c r="D39" s="327"/>
      <c r="E39" s="327"/>
      <c r="F39" s="327"/>
      <c r="G39" s="327"/>
      <c r="H39" s="327"/>
      <c r="I39" s="327"/>
      <c r="J39" s="327"/>
      <c r="K39" s="327"/>
      <c r="L39" s="327"/>
      <c r="M39" s="327"/>
      <c r="N39" s="327"/>
      <c r="O39" s="327"/>
      <c r="P39" s="327"/>
      <c r="Q39" s="327"/>
      <c r="R39" s="327"/>
      <c r="S39" s="327"/>
      <c r="T39" s="327"/>
    </row>
    <row r="40" spans="1:20" hidden="1" outlineLevel="1" x14ac:dyDescent="0.25">
      <c r="A40" s="327"/>
      <c r="B40" s="327">
        <v>1</v>
      </c>
      <c r="C40" s="327" t="s">
        <v>128</v>
      </c>
      <c r="D40" s="327">
        <v>2010</v>
      </c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  <c r="P40" s="327"/>
      <c r="Q40" s="327"/>
      <c r="R40" s="327"/>
      <c r="S40" s="327"/>
      <c r="T40" s="327"/>
    </row>
    <row r="41" spans="1:20" hidden="1" outlineLevel="1" x14ac:dyDescent="0.25">
      <c r="A41" s="327"/>
      <c r="B41" s="327">
        <v>2</v>
      </c>
      <c r="C41" s="327" t="s">
        <v>129</v>
      </c>
      <c r="D41" s="327">
        <v>2011</v>
      </c>
      <c r="E41" s="327"/>
      <c r="F41" s="327"/>
      <c r="G41" s="327"/>
      <c r="H41" s="327"/>
      <c r="I41" s="327"/>
      <c r="J41" s="327"/>
      <c r="K41" s="327"/>
      <c r="L41" s="327"/>
      <c r="M41" s="327"/>
      <c r="N41" s="327"/>
      <c r="O41" s="327"/>
      <c r="P41" s="327"/>
      <c r="Q41" s="327"/>
      <c r="R41" s="327"/>
      <c r="S41" s="327"/>
      <c r="T41" s="327"/>
    </row>
    <row r="42" spans="1:20" hidden="1" outlineLevel="1" x14ac:dyDescent="0.25">
      <c r="A42" s="327"/>
      <c r="B42" s="327">
        <v>3</v>
      </c>
      <c r="C42" s="327" t="s">
        <v>130</v>
      </c>
      <c r="D42" s="327">
        <v>2012</v>
      </c>
      <c r="E42" s="327"/>
      <c r="F42" s="327"/>
      <c r="G42" s="327"/>
      <c r="H42" s="327"/>
      <c r="I42" s="327"/>
      <c r="J42" s="327"/>
      <c r="K42" s="327"/>
      <c r="L42" s="327"/>
      <c r="M42" s="327"/>
      <c r="N42" s="327"/>
      <c r="O42" s="327"/>
      <c r="P42" s="327"/>
      <c r="Q42" s="327"/>
      <c r="R42" s="327"/>
      <c r="S42" s="327"/>
      <c r="T42" s="327"/>
    </row>
    <row r="43" spans="1:20" hidden="1" outlineLevel="1" x14ac:dyDescent="0.25">
      <c r="A43" s="327"/>
      <c r="B43" s="327">
        <v>4</v>
      </c>
      <c r="C43" s="327" t="s">
        <v>131</v>
      </c>
      <c r="D43" s="327">
        <v>2013</v>
      </c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</row>
    <row r="44" spans="1:20" hidden="1" outlineLevel="1" x14ac:dyDescent="0.25">
      <c r="A44" s="327"/>
      <c r="B44" s="327">
        <v>5</v>
      </c>
      <c r="C44" s="327" t="s">
        <v>132</v>
      </c>
      <c r="D44" s="327">
        <v>2014</v>
      </c>
      <c r="E44" s="327"/>
      <c r="F44" s="327"/>
      <c r="G44" s="327"/>
      <c r="H44" s="327"/>
      <c r="I44" s="327"/>
      <c r="J44" s="327"/>
      <c r="K44" s="327"/>
      <c r="L44" s="327"/>
      <c r="M44" s="327"/>
      <c r="N44" s="327"/>
      <c r="O44" s="327"/>
      <c r="P44" s="327"/>
      <c r="Q44" s="327"/>
      <c r="R44" s="327"/>
      <c r="S44" s="327"/>
      <c r="T44" s="327"/>
    </row>
    <row r="45" spans="1:20" hidden="1" outlineLevel="1" x14ac:dyDescent="0.25">
      <c r="A45" s="327"/>
      <c r="B45" s="327">
        <v>6</v>
      </c>
      <c r="C45" s="327" t="s">
        <v>133</v>
      </c>
      <c r="D45" s="327">
        <v>2015</v>
      </c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</row>
    <row r="46" spans="1:20" hidden="1" outlineLevel="1" x14ac:dyDescent="0.25">
      <c r="A46" s="327"/>
      <c r="B46" s="327">
        <v>7</v>
      </c>
      <c r="C46" s="327" t="s">
        <v>134</v>
      </c>
      <c r="D46" s="327">
        <v>2016</v>
      </c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</row>
    <row r="47" spans="1:20" hidden="1" outlineLevel="1" x14ac:dyDescent="0.25">
      <c r="A47" s="327"/>
      <c r="B47" s="327">
        <v>8</v>
      </c>
      <c r="C47" s="327" t="s">
        <v>135</v>
      </c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</row>
    <row r="48" spans="1:20" hidden="1" outlineLevel="1" x14ac:dyDescent="0.25">
      <c r="A48" s="327"/>
      <c r="B48" s="327">
        <v>9</v>
      </c>
      <c r="C48" s="327" t="s">
        <v>136</v>
      </c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</row>
    <row r="49" spans="1:20" hidden="1" outlineLevel="1" x14ac:dyDescent="0.25">
      <c r="A49" s="326"/>
      <c r="B49" s="327">
        <v>10</v>
      </c>
      <c r="C49" s="327" t="s">
        <v>137</v>
      </c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</row>
    <row r="50" spans="1:20" hidden="1" outlineLevel="1" x14ac:dyDescent="0.25">
      <c r="A50" s="326"/>
      <c r="B50" s="327">
        <v>11</v>
      </c>
      <c r="C50" s="327" t="s">
        <v>138</v>
      </c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</row>
    <row r="51" spans="1:20" hidden="1" outlineLevel="1" x14ac:dyDescent="0.25">
      <c r="A51" s="326"/>
      <c r="B51" s="327">
        <v>12</v>
      </c>
      <c r="C51" s="327" t="s">
        <v>139</v>
      </c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</row>
    <row r="52" spans="1:20" hidden="1" outlineLevel="1" x14ac:dyDescent="0.25">
      <c r="A52" s="326"/>
      <c r="B52" s="327">
        <v>13</v>
      </c>
      <c r="C52" s="327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</row>
    <row r="53" spans="1:20" hidden="1" outlineLevel="1" x14ac:dyDescent="0.25">
      <c r="A53" s="326"/>
      <c r="B53" s="327">
        <v>14</v>
      </c>
      <c r="C53" s="327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</row>
    <row r="54" spans="1:20" hidden="1" outlineLevel="1" x14ac:dyDescent="0.25">
      <c r="A54" s="326"/>
      <c r="B54" s="327">
        <v>15</v>
      </c>
      <c r="C54" s="327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</row>
    <row r="55" spans="1:20" hidden="1" outlineLevel="1" x14ac:dyDescent="0.25">
      <c r="A55" s="326"/>
      <c r="B55" s="327">
        <v>16</v>
      </c>
      <c r="C55" s="327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</row>
    <row r="56" spans="1:20" hidden="1" outlineLevel="1" x14ac:dyDescent="0.25">
      <c r="A56" s="326"/>
      <c r="B56" s="327">
        <v>17</v>
      </c>
      <c r="C56" s="327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</row>
    <row r="57" spans="1:20" hidden="1" outlineLevel="1" x14ac:dyDescent="0.25">
      <c r="A57" s="326"/>
      <c r="B57" s="327">
        <v>18</v>
      </c>
      <c r="C57" s="327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</row>
    <row r="58" spans="1:20" hidden="1" outlineLevel="1" x14ac:dyDescent="0.25">
      <c r="A58" s="326"/>
      <c r="B58" s="327">
        <v>19</v>
      </c>
      <c r="C58" s="327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</row>
    <row r="59" spans="1:20" hidden="1" outlineLevel="1" x14ac:dyDescent="0.25">
      <c r="A59" s="326"/>
      <c r="B59" s="327">
        <v>20</v>
      </c>
      <c r="C59" s="327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</row>
    <row r="60" spans="1:20" hidden="1" outlineLevel="1" x14ac:dyDescent="0.25">
      <c r="A60" s="326"/>
      <c r="B60" s="327">
        <v>21</v>
      </c>
      <c r="C60" s="327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</row>
    <row r="61" spans="1:20" hidden="1" outlineLevel="1" x14ac:dyDescent="0.25">
      <c r="A61" s="326"/>
      <c r="B61" s="327">
        <v>22</v>
      </c>
      <c r="C61" s="327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</row>
    <row r="62" spans="1:20" hidden="1" outlineLevel="1" x14ac:dyDescent="0.25">
      <c r="A62" s="326"/>
      <c r="B62" s="327">
        <v>23</v>
      </c>
      <c r="C62" s="327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</row>
    <row r="63" spans="1:20" hidden="1" outlineLevel="1" x14ac:dyDescent="0.25">
      <c r="A63" s="326"/>
      <c r="B63" s="327">
        <v>24</v>
      </c>
      <c r="C63" s="327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</row>
    <row r="64" spans="1:20" hidden="1" outlineLevel="1" x14ac:dyDescent="0.25">
      <c r="A64" s="326"/>
      <c r="B64" s="327">
        <v>25</v>
      </c>
      <c r="C64" s="327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</row>
    <row r="65" spans="1:20" hidden="1" outlineLevel="1" x14ac:dyDescent="0.25">
      <c r="A65" s="326"/>
      <c r="B65" s="327">
        <v>26</v>
      </c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</row>
    <row r="66" spans="1:20" hidden="1" outlineLevel="1" x14ac:dyDescent="0.25">
      <c r="A66" s="326"/>
      <c r="B66" s="327">
        <v>27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</row>
    <row r="67" spans="1:20" hidden="1" outlineLevel="1" x14ac:dyDescent="0.25">
      <c r="A67" s="326"/>
      <c r="B67" s="327">
        <v>28</v>
      </c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</row>
    <row r="68" spans="1:20" hidden="1" outlineLevel="1" x14ac:dyDescent="0.25">
      <c r="A68" s="326"/>
      <c r="B68" s="327">
        <v>29</v>
      </c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</row>
    <row r="69" spans="1:20" hidden="1" outlineLevel="1" x14ac:dyDescent="0.25">
      <c r="A69" s="326"/>
      <c r="B69" s="327">
        <v>30</v>
      </c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</row>
    <row r="70" spans="1:20" hidden="1" outlineLevel="1" x14ac:dyDescent="0.25">
      <c r="A70" s="326"/>
      <c r="B70" s="327">
        <v>31</v>
      </c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</row>
    <row r="71" spans="1:20" hidden="1" outlineLevel="1" x14ac:dyDescent="0.25">
      <c r="A71" s="326"/>
      <c r="B71" s="327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</row>
    <row r="72" spans="1:20" hidden="1" outlineLevel="1" x14ac:dyDescent="0.25">
      <c r="A72" s="326"/>
      <c r="B72" s="327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</row>
    <row r="73" spans="1:20" hidden="1" outlineLevel="1" x14ac:dyDescent="0.25">
      <c r="A73" s="326"/>
      <c r="B73" s="327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</row>
    <row r="74" spans="1:20" collapsed="1" x14ac:dyDescent="0.25">
      <c r="A74" s="326"/>
      <c r="B74" s="327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</row>
  </sheetData>
  <protectedRanges>
    <protectedRange sqref="C12:E12" name="Plage4"/>
    <protectedRange sqref="K20:K21" name="Plage8"/>
    <protectedRange sqref="L8:L9" name="Plage7"/>
  </protectedRanges>
  <mergeCells count="33">
    <mergeCell ref="C7:D8"/>
    <mergeCell ref="G10:H11"/>
    <mergeCell ref="G7:H8"/>
    <mergeCell ref="J6:Q6"/>
    <mergeCell ref="C14:M14"/>
    <mergeCell ref="P14:S14"/>
    <mergeCell ref="Q21:R22"/>
    <mergeCell ref="C15:I16"/>
    <mergeCell ref="C32:L32"/>
    <mergeCell ref="Q23:R24"/>
    <mergeCell ref="M23:M24"/>
    <mergeCell ref="G23:G24"/>
    <mergeCell ref="C23:E24"/>
    <mergeCell ref="C26:D26"/>
    <mergeCell ref="H23:J24"/>
    <mergeCell ref="C30:D30"/>
    <mergeCell ref="C28:D28"/>
    <mergeCell ref="B1:S1"/>
    <mergeCell ref="B2:S2"/>
    <mergeCell ref="C10:D11"/>
    <mergeCell ref="K18:L19"/>
    <mergeCell ref="M18:M19"/>
    <mergeCell ref="Q18:Q19"/>
    <mergeCell ref="R18:R19"/>
    <mergeCell ref="K15:L16"/>
    <mergeCell ref="M15:M16"/>
    <mergeCell ref="Q15:Q16"/>
    <mergeCell ref="R15:R16"/>
    <mergeCell ref="C18:I19"/>
    <mergeCell ref="I4:Q4"/>
    <mergeCell ref="J7:M11"/>
    <mergeCell ref="N7:R9"/>
    <mergeCell ref="P10:Q11"/>
  </mergeCells>
  <dataValidations disablePrompts="1" count="3">
    <dataValidation type="list" allowBlank="1" showInputMessage="1" showErrorMessage="1" sqref="C12">
      <formula1>$B$30:$B$55</formula1>
    </dataValidation>
    <dataValidation type="list" allowBlank="1" showInputMessage="1" showErrorMessage="1" sqref="E12">
      <formula1>$D$30:$D$31</formula1>
    </dataValidation>
    <dataValidation type="list" allowBlank="1" showInputMessage="1" showErrorMessage="1" sqref="D12">
      <formula1>$C$30:$C$36</formula1>
    </dataValidation>
  </dataValidations>
  <printOptions horizontalCentered="1"/>
  <pageMargins left="0.23622047244094491" right="0.23622047244094491" top="0.19685039370078741" bottom="0.19685039370078741" header="0.31496062992125984" footer="0.31496062992125984"/>
  <pageSetup paperSize="9" scale="86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Spinner 1">
              <controlPr defaultSize="0" autoPict="0">
                <anchor moveWithCells="1" sizeWithCells="1">
                  <from>
                    <xdr:col>9</xdr:col>
                    <xdr:colOff>104775</xdr:colOff>
                    <xdr:row>25</xdr:row>
                    <xdr:rowOff>0</xdr:rowOff>
                  </from>
                  <to>
                    <xdr:col>10</xdr:col>
                    <xdr:colOff>57150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Spinner 2">
              <controlPr defaultSize="0" autoPict="0">
                <anchor moveWithCells="1" sizeWithCells="1">
                  <from>
                    <xdr:col>9</xdr:col>
                    <xdr:colOff>114300</xdr:colOff>
                    <xdr:row>27</xdr:row>
                    <xdr:rowOff>0</xdr:rowOff>
                  </from>
                  <to>
                    <xdr:col>10</xdr:col>
                    <xdr:colOff>66675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Spinner 3">
              <controlPr defaultSize="0" autoPict="0">
                <anchor moveWithCells="1" sizeWithCells="1">
                  <from>
                    <xdr:col>9</xdr:col>
                    <xdr:colOff>114300</xdr:colOff>
                    <xdr:row>29</xdr:row>
                    <xdr:rowOff>0</xdr:rowOff>
                  </from>
                  <to>
                    <xdr:col>10</xdr:col>
                    <xdr:colOff>66675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O1072"/>
  <sheetViews>
    <sheetView showGridLines="0" showRowColHeaders="0" zoomScale="112" zoomScaleNormal="112" workbookViewId="0">
      <selection activeCell="H9" sqref="H9:H10"/>
    </sheetView>
  </sheetViews>
  <sheetFormatPr defaultColWidth="11.42578125" defaultRowHeight="15" outlineLevelRow="1" x14ac:dyDescent="0.25"/>
  <cols>
    <col min="1" max="1" width="4.42578125" customWidth="1"/>
    <col min="2" max="2" width="11.85546875" customWidth="1"/>
    <col min="3" max="3" width="14.42578125" customWidth="1"/>
    <col min="4" max="4" width="4.28515625" customWidth="1"/>
    <col min="5" max="5" width="21.5703125" customWidth="1"/>
    <col min="6" max="6" width="3.7109375" customWidth="1"/>
    <col min="7" max="7" width="4.5703125" customWidth="1"/>
    <col min="8" max="8" width="21.5703125" customWidth="1"/>
    <col min="9" max="9" width="3.42578125" customWidth="1"/>
    <col min="11" max="11" width="4.5703125" customWidth="1"/>
  </cols>
  <sheetData>
    <row r="1" spans="1:15" ht="58.5" customHeight="1" x14ac:dyDescent="0.25">
      <c r="A1" s="45"/>
      <c r="B1" s="1107" t="s">
        <v>1188</v>
      </c>
      <c r="C1" s="1107"/>
      <c r="D1" s="1107"/>
      <c r="E1" s="1107"/>
      <c r="F1" s="1107"/>
      <c r="G1" s="1107"/>
      <c r="H1" s="1107"/>
      <c r="I1" s="1107"/>
      <c r="J1" s="1107"/>
      <c r="K1" s="1107"/>
      <c r="L1" s="43"/>
    </row>
    <row r="2" spans="1:15" ht="29.25" customHeight="1" x14ac:dyDescent="0.25">
      <c r="A2" s="45"/>
      <c r="B2" s="1233" t="s">
        <v>44</v>
      </c>
      <c r="C2" s="1233"/>
      <c r="D2" s="1233"/>
      <c r="E2" s="1233"/>
      <c r="F2" s="1233"/>
      <c r="G2" s="1233"/>
      <c r="H2" s="1233"/>
      <c r="I2" s="1233"/>
      <c r="J2" s="1233"/>
      <c r="K2" s="45"/>
      <c r="L2" s="44"/>
    </row>
    <row r="3" spans="1:15" s="122" customFormat="1" ht="26.25" x14ac:dyDescent="0.25">
      <c r="A3" s="126"/>
      <c r="B3" s="31"/>
      <c r="C3" s="30"/>
      <c r="D3" s="30"/>
      <c r="E3" s="30"/>
      <c r="F3" s="30"/>
      <c r="G3" s="30"/>
      <c r="H3" s="30"/>
      <c r="I3" s="30"/>
      <c r="J3" s="32"/>
      <c r="K3" s="133"/>
    </row>
    <row r="4" spans="1:15" ht="12.75" customHeight="1" x14ac:dyDescent="0.4">
      <c r="A4" s="45"/>
      <c r="B4" s="46"/>
      <c r="C4" s="46"/>
      <c r="D4" s="46"/>
      <c r="E4" s="46"/>
      <c r="F4" s="46"/>
      <c r="G4" s="46"/>
      <c r="H4" s="46"/>
      <c r="I4" s="46"/>
      <c r="J4" s="46"/>
      <c r="K4" s="45"/>
      <c r="L4" s="44"/>
    </row>
    <row r="5" spans="1:15" ht="36.75" customHeight="1" x14ac:dyDescent="0.25">
      <c r="A5" s="45"/>
      <c r="B5" s="1234" t="s">
        <v>491</v>
      </c>
      <c r="C5" s="1235"/>
      <c r="D5" s="1235"/>
      <c r="E5" s="1235"/>
      <c r="F5" s="1235"/>
      <c r="G5" s="1235"/>
      <c r="H5" s="1235"/>
      <c r="I5" s="1235"/>
      <c r="J5" s="1236"/>
      <c r="K5" s="45"/>
      <c r="L5" s="43"/>
    </row>
    <row r="6" spans="1:15" ht="16.5" customHeight="1" x14ac:dyDescent="0.25">
      <c r="A6" s="45"/>
      <c r="B6" s="1226" t="s">
        <v>91</v>
      </c>
      <c r="C6" s="1187"/>
      <c r="D6" s="1187"/>
      <c r="E6" s="1187"/>
      <c r="F6" s="1187"/>
      <c r="G6" s="1187"/>
      <c r="H6" s="1187"/>
      <c r="I6" s="1187"/>
      <c r="J6" s="1227"/>
      <c r="K6" s="45"/>
      <c r="L6" s="43"/>
      <c r="M6" s="122"/>
    </row>
    <row r="7" spans="1:15" ht="21.75" customHeight="1" x14ac:dyDescent="0.25">
      <c r="A7" s="45"/>
      <c r="B7" s="288"/>
      <c r="C7" s="266"/>
      <c r="D7" s="266"/>
      <c r="E7" s="266"/>
      <c r="F7" s="266"/>
      <c r="G7" s="266"/>
      <c r="H7" s="266"/>
      <c r="I7" s="266"/>
      <c r="J7" s="21"/>
      <c r="K7" s="45"/>
    </row>
    <row r="8" spans="1:15" ht="24" customHeight="1" x14ac:dyDescent="0.25">
      <c r="A8" s="45"/>
      <c r="B8" s="1239" t="str">
        <f>IF(E9="","1 Mélange n'est pas nécessaire !",IF(H9&lt;0,"1 Mélange n'est pas nécessaire !                   Cliquez sur Retour",""))</f>
        <v>1 Mélange n'est pas nécessaire !</v>
      </c>
      <c r="C8" s="1240"/>
      <c r="D8" s="1240"/>
      <c r="E8" s="189" t="str">
        <f>IF(CONCENTRE!C10="","",CONCENTRE!C10)</f>
        <v/>
      </c>
      <c r="F8" s="190" t="s">
        <v>78</v>
      </c>
      <c r="G8" s="149" t="s">
        <v>92</v>
      </c>
      <c r="H8" s="189" t="str">
        <f>IF(CONCENTRE!C17="","",CONCENTRE!C17)</f>
        <v/>
      </c>
      <c r="I8" s="190" t="s">
        <v>79</v>
      </c>
      <c r="J8" s="21"/>
      <c r="K8" s="45"/>
      <c r="M8" s="122"/>
    </row>
    <row r="9" spans="1:15" ht="29.25" customHeight="1" x14ac:dyDescent="0.25">
      <c r="A9" s="45"/>
      <c r="B9" s="1241"/>
      <c r="C9" s="1240"/>
      <c r="D9" s="1240"/>
      <c r="E9" s="1238" t="str">
        <f>E24</f>
        <v/>
      </c>
      <c r="F9" s="1229" t="s">
        <v>80</v>
      </c>
      <c r="G9" s="124"/>
      <c r="H9" s="1238" t="str">
        <f>H24</f>
        <v/>
      </c>
      <c r="I9" s="1229" t="s">
        <v>80</v>
      </c>
      <c r="J9" s="21"/>
      <c r="K9" s="295"/>
      <c r="L9" s="299"/>
      <c r="N9" s="216"/>
      <c r="O9" s="216"/>
    </row>
    <row r="10" spans="1:15" s="216" customFormat="1" ht="9" customHeight="1" x14ac:dyDescent="0.25">
      <c r="A10" s="126"/>
      <c r="B10" s="292"/>
      <c r="C10" s="293"/>
      <c r="D10" s="293"/>
      <c r="E10" s="1238"/>
      <c r="F10" s="1229"/>
      <c r="G10" s="124"/>
      <c r="H10" s="1238"/>
      <c r="I10" s="1229"/>
      <c r="J10" s="21"/>
      <c r="K10" s="295"/>
    </row>
    <row r="11" spans="1:15" ht="34.5" customHeight="1" x14ac:dyDescent="0.25">
      <c r="A11" s="45"/>
      <c r="B11" s="289"/>
      <c r="C11" s="184" t="s">
        <v>77</v>
      </c>
      <c r="D11" s="151"/>
      <c r="E11" s="188" t="str">
        <f>IF(E9="","",E20/(E20+H20))</f>
        <v/>
      </c>
      <c r="F11" s="152"/>
      <c r="G11" s="152"/>
      <c r="H11" s="188" t="str">
        <f>IF(H9="","",H20/(E20+H20))</f>
        <v/>
      </c>
      <c r="I11" s="151"/>
      <c r="J11" s="21"/>
      <c r="K11" s="45"/>
      <c r="L11" s="299"/>
    </row>
    <row r="12" spans="1:15" ht="25.5" customHeight="1" x14ac:dyDescent="0.25">
      <c r="A12" s="45"/>
      <c r="B12" s="290" t="s">
        <v>0</v>
      </c>
      <c r="C12" s="185" t="str">
        <f>IF(CONCENTRE!E10="","",-RATION!F18)</f>
        <v/>
      </c>
      <c r="D12" s="149" t="s">
        <v>88</v>
      </c>
      <c r="E12" s="187">
        <f>IF(CONCENTRE!C10="",0.001,CONCENTRE!E10)</f>
        <v>1E-3</v>
      </c>
      <c r="F12" s="150" t="s">
        <v>78</v>
      </c>
      <c r="G12" s="151" t="s">
        <v>92</v>
      </c>
      <c r="H12" s="187">
        <f>IF(CONCENTRE!C17="",0.001,CONCENTRE!E17)</f>
        <v>1E-3</v>
      </c>
      <c r="I12" s="150" t="s">
        <v>79</v>
      </c>
      <c r="J12" s="21"/>
      <c r="K12" s="45"/>
      <c r="L12" s="43"/>
    </row>
    <row r="13" spans="1:15" ht="9" customHeight="1" x14ac:dyDescent="0.25">
      <c r="A13" s="45"/>
      <c r="B13" s="290"/>
      <c r="C13" s="149"/>
      <c r="D13" s="151"/>
      <c r="E13" s="153"/>
      <c r="F13" s="150"/>
      <c r="G13" s="151"/>
      <c r="H13" s="153"/>
      <c r="I13" s="149"/>
      <c r="J13" s="21"/>
      <c r="K13" s="45"/>
      <c r="L13" s="43"/>
    </row>
    <row r="14" spans="1:15" ht="22.5" x14ac:dyDescent="0.25">
      <c r="A14" s="45"/>
      <c r="B14" s="290" t="s">
        <v>82</v>
      </c>
      <c r="C14" s="186" t="str">
        <f>IF(CONCENTRE!F10="","",-RATION!G18)</f>
        <v/>
      </c>
      <c r="D14" s="149" t="s">
        <v>88</v>
      </c>
      <c r="E14" s="298">
        <f>IF(CONCENTRE!C10="",0.001,CONCENTRE!F10)</f>
        <v>1E-3</v>
      </c>
      <c r="F14" s="150" t="s">
        <v>78</v>
      </c>
      <c r="G14" s="151" t="s">
        <v>92</v>
      </c>
      <c r="H14" s="298">
        <f>IF(CONCENTRE!C17="",0.001,CONCENTRE!F17)</f>
        <v>1E-3</v>
      </c>
      <c r="I14" s="150" t="s">
        <v>79</v>
      </c>
      <c r="J14" s="21"/>
      <c r="K14" s="45"/>
      <c r="L14" s="43"/>
    </row>
    <row r="15" spans="1:15" ht="13.5" customHeight="1" x14ac:dyDescent="0.25">
      <c r="A15" s="45"/>
      <c r="B15" s="291"/>
      <c r="C15" s="153"/>
      <c r="D15" s="149"/>
      <c r="E15" s="153"/>
      <c r="F15" s="150"/>
      <c r="G15" s="151"/>
      <c r="H15" s="153"/>
      <c r="I15" s="150"/>
      <c r="J15" s="21"/>
      <c r="K15" s="45"/>
      <c r="L15" s="43"/>
    </row>
    <row r="16" spans="1:15" ht="15" customHeight="1" x14ac:dyDescent="0.25">
      <c r="A16" s="45"/>
      <c r="B16" s="1081" t="str">
        <f>IF(E9="","VERIFIER vos concentrés, le mélange n'est pas adapté !",IF(H9="","VERIFIER vos concentrés, le mélange n'est pas adapté !",""))</f>
        <v>VERIFIER vos concentrés, le mélange n'est pas adapté !</v>
      </c>
      <c r="C16" s="1082"/>
      <c r="D16" s="1082"/>
      <c r="E16" s="1082"/>
      <c r="F16" s="1082"/>
      <c r="G16" s="1082"/>
      <c r="H16" s="1082"/>
      <c r="I16" s="1082"/>
      <c r="J16" s="1083"/>
      <c r="K16" s="45"/>
      <c r="L16" s="43"/>
    </row>
    <row r="17" spans="1:12" ht="15" customHeight="1" x14ac:dyDescent="0.25">
      <c r="A17" s="126"/>
      <c r="B17" s="1230"/>
      <c r="C17" s="1231"/>
      <c r="D17" s="1231"/>
      <c r="E17" s="1231"/>
      <c r="F17" s="1231"/>
      <c r="G17" s="1231"/>
      <c r="H17" s="1231"/>
      <c r="I17" s="1231"/>
      <c r="J17" s="1232"/>
      <c r="K17" s="295"/>
      <c r="L17" s="42"/>
    </row>
    <row r="18" spans="1:12" x14ac:dyDescent="0.25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42"/>
    </row>
    <row r="19" spans="1:1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0" spans="1:12" ht="15.75" hidden="1" outlineLevel="1" x14ac:dyDescent="0.25">
      <c r="E20" s="1228" t="e">
        <f>IF((C12-(H12*H20))/E12&lt;0,"",IF(E12=0.001,0,IF(C12&lt;=0.1,0,IF(C12="","",ROUND((C12-(H12*H20))/E12,1)))))</f>
        <v>#VALUE!</v>
      </c>
      <c r="F20" s="300"/>
      <c r="G20" s="300"/>
      <c r="H20" s="1228" t="e">
        <f>IF((C14-(C12*E14)/E12)/(H14-((H12*E14)/E12))&lt;0,0,IF(H12=0.001,0,IF(C14&lt;=0.1,0,IF(C12="","",ROUND((C14-(C12*E14)/E12)/(H14-((H12*E14)/E12)),1)))))</f>
        <v>#VALUE!</v>
      </c>
    </row>
    <row r="21" spans="1:12" ht="12" hidden="1" customHeight="1" outlineLevel="1" x14ac:dyDescent="0.25">
      <c r="E21" s="1228"/>
      <c r="F21" s="300"/>
      <c r="G21" s="300"/>
      <c r="H21" s="1228"/>
    </row>
    <row r="22" spans="1:12" ht="15.75" hidden="1" outlineLevel="1" x14ac:dyDescent="0.25">
      <c r="E22" s="1237">
        <f>IF(E12=0.001,0,IF(C12&lt;=0.1,0,IF(C12="","",(C12-(H12*H20))/E12)))</f>
        <v>0</v>
      </c>
      <c r="F22" s="300"/>
      <c r="G22" s="300"/>
      <c r="H22" s="1237">
        <f>IF(H12=0.001,0,IF(C14&lt;=0.1,0,IF(C12="","",(C14-(C12*E14)/E12)/(H14-((H12*E14)/E12)))))</f>
        <v>0</v>
      </c>
    </row>
    <row r="23" spans="1:12" ht="15.75" hidden="1" outlineLevel="1" x14ac:dyDescent="0.25">
      <c r="E23" s="1237"/>
      <c r="F23" s="300"/>
      <c r="G23" s="300"/>
      <c r="H23" s="1237"/>
    </row>
    <row r="24" spans="1:12" ht="30.75" hidden="1" customHeight="1" outlineLevel="1" x14ac:dyDescent="0.25">
      <c r="E24" s="301" t="str">
        <f>IF(E22&lt;=0,"",IF(H22&gt;0,ROUND(E22,1),ROUND(C12/E12,1)))</f>
        <v/>
      </c>
      <c r="F24" s="125"/>
      <c r="G24" s="125"/>
      <c r="H24" s="301" t="str">
        <f>IF(H22&lt;=0,"",IF(E22&gt;0,ROUND(H20,1),ROUND(C12/H12,1)))</f>
        <v/>
      </c>
    </row>
    <row r="25" spans="1:12" ht="28.5" hidden="1" customHeight="1" outlineLevel="1" x14ac:dyDescent="0.25"/>
    <row r="26" spans="1:12" hidden="1" outlineLevel="1" x14ac:dyDescent="0.25"/>
    <row r="27" spans="1:12" hidden="1" outlineLevel="1" x14ac:dyDescent="0.25">
      <c r="C27" s="216" t="s">
        <v>508</v>
      </c>
    </row>
    <row r="28" spans="1:12" hidden="1" outlineLevel="1" x14ac:dyDescent="0.25">
      <c r="C28" s="216" t="s">
        <v>507</v>
      </c>
    </row>
    <row r="29" spans="1:12" hidden="1" outlineLevel="1" x14ac:dyDescent="0.25"/>
    <row r="30" spans="1:12" hidden="1" outlineLevel="1" x14ac:dyDescent="0.25">
      <c r="C30" s="216" t="s">
        <v>509</v>
      </c>
    </row>
    <row r="31" spans="1:12" hidden="1" outlineLevel="1" x14ac:dyDescent="0.25">
      <c r="C31" s="216" t="s">
        <v>510</v>
      </c>
    </row>
    <row r="32" spans="1:12" hidden="1" outlineLevel="1" x14ac:dyDescent="0.25"/>
    <row r="33" collapsed="1" x14ac:dyDescent="0.25"/>
    <row r="34" s="580" customFormat="1" x14ac:dyDescent="0.25"/>
    <row r="35" s="580" customFormat="1" x14ac:dyDescent="0.25"/>
    <row r="36" s="580" customFormat="1" x14ac:dyDescent="0.25"/>
    <row r="37" s="580" customFormat="1" x14ac:dyDescent="0.25"/>
    <row r="38" s="580" customFormat="1" x14ac:dyDescent="0.25"/>
    <row r="39" s="580" customFormat="1" x14ac:dyDescent="0.25"/>
    <row r="40" s="580" customFormat="1" x14ac:dyDescent="0.25"/>
    <row r="41" s="580" customFormat="1" x14ac:dyDescent="0.25"/>
    <row r="42" s="580" customFormat="1" x14ac:dyDescent="0.25"/>
    <row r="43" s="580" customFormat="1" x14ac:dyDescent="0.25"/>
    <row r="44" s="580" customFormat="1" x14ac:dyDescent="0.25"/>
    <row r="45" s="580" customFormat="1" x14ac:dyDescent="0.25"/>
    <row r="46" s="580" customFormat="1" x14ac:dyDescent="0.25"/>
    <row r="47" s="580" customFormat="1" x14ac:dyDescent="0.25"/>
    <row r="48" s="580" customFormat="1" x14ac:dyDescent="0.25"/>
    <row r="49" s="580" customFormat="1" x14ac:dyDescent="0.25"/>
    <row r="50" s="580" customFormat="1" x14ac:dyDescent="0.25"/>
    <row r="51" s="580" customFormat="1" x14ac:dyDescent="0.25"/>
    <row r="52" s="580" customFormat="1" x14ac:dyDescent="0.25"/>
    <row r="53" s="580" customFormat="1" x14ac:dyDescent="0.25"/>
    <row r="54" s="580" customFormat="1" x14ac:dyDescent="0.25"/>
    <row r="55" s="580" customFormat="1" x14ac:dyDescent="0.25"/>
    <row r="56" s="580" customFormat="1" x14ac:dyDescent="0.25"/>
    <row r="57" s="580" customFormat="1" x14ac:dyDescent="0.25"/>
    <row r="58" s="580" customFormat="1" x14ac:dyDescent="0.25"/>
    <row r="59" s="580" customFormat="1" x14ac:dyDescent="0.25"/>
    <row r="60" s="580" customFormat="1" x14ac:dyDescent="0.25"/>
    <row r="61" s="580" customFormat="1" x14ac:dyDescent="0.25"/>
    <row r="62" s="580" customFormat="1" x14ac:dyDescent="0.25"/>
    <row r="63" s="580" customFormat="1" x14ac:dyDescent="0.25"/>
    <row r="64" s="580" customFormat="1" x14ac:dyDescent="0.25"/>
    <row r="65" s="580" customFormat="1" x14ac:dyDescent="0.25"/>
    <row r="66" s="580" customFormat="1" x14ac:dyDescent="0.25"/>
    <row r="67" s="580" customFormat="1" x14ac:dyDescent="0.25"/>
    <row r="68" s="580" customFormat="1" x14ac:dyDescent="0.25"/>
    <row r="69" s="580" customFormat="1" x14ac:dyDescent="0.25"/>
    <row r="70" s="580" customFormat="1" x14ac:dyDescent="0.25"/>
    <row r="71" s="580" customFormat="1" x14ac:dyDescent="0.25"/>
    <row r="72" s="580" customFormat="1" x14ac:dyDescent="0.25"/>
    <row r="73" s="580" customFormat="1" x14ac:dyDescent="0.25"/>
    <row r="74" s="580" customFormat="1" x14ac:dyDescent="0.25"/>
    <row r="75" s="580" customFormat="1" x14ac:dyDescent="0.25"/>
    <row r="76" s="580" customFormat="1" x14ac:dyDescent="0.25"/>
    <row r="77" s="580" customFormat="1" x14ac:dyDescent="0.25"/>
    <row r="78" s="580" customFormat="1" x14ac:dyDescent="0.25"/>
    <row r="79" s="580" customFormat="1" x14ac:dyDescent="0.25"/>
    <row r="80" s="580" customFormat="1" x14ac:dyDescent="0.25"/>
    <row r="81" s="580" customFormat="1" x14ac:dyDescent="0.25"/>
    <row r="82" s="580" customFormat="1" x14ac:dyDescent="0.25"/>
    <row r="83" s="580" customFormat="1" x14ac:dyDescent="0.25"/>
    <row r="84" s="580" customFormat="1" x14ac:dyDescent="0.25"/>
    <row r="85" s="580" customFormat="1" x14ac:dyDescent="0.25"/>
    <row r="86" s="580" customFormat="1" x14ac:dyDescent="0.25"/>
    <row r="87" s="580" customFormat="1" x14ac:dyDescent="0.25"/>
    <row r="88" s="580" customFormat="1" x14ac:dyDescent="0.25"/>
    <row r="89" s="580" customFormat="1" x14ac:dyDescent="0.25"/>
    <row r="90" s="580" customFormat="1" x14ac:dyDescent="0.25"/>
    <row r="91" s="580" customFormat="1" x14ac:dyDescent="0.25"/>
    <row r="92" s="580" customFormat="1" x14ac:dyDescent="0.25"/>
    <row r="93" s="580" customFormat="1" x14ac:dyDescent="0.25"/>
    <row r="94" s="580" customFormat="1" x14ac:dyDescent="0.25"/>
    <row r="95" s="580" customFormat="1" x14ac:dyDescent="0.25"/>
    <row r="96" s="580" customFormat="1" x14ac:dyDescent="0.25"/>
    <row r="97" s="580" customFormat="1" x14ac:dyDescent="0.25"/>
    <row r="98" s="580" customFormat="1" x14ac:dyDescent="0.25"/>
    <row r="99" s="580" customFormat="1" x14ac:dyDescent="0.25"/>
    <row r="100" s="580" customFormat="1" x14ac:dyDescent="0.25"/>
    <row r="101" s="580" customFormat="1" x14ac:dyDescent="0.25"/>
    <row r="102" s="580" customFormat="1" x14ac:dyDescent="0.25"/>
    <row r="103" s="580" customFormat="1" x14ac:dyDescent="0.25"/>
    <row r="104" s="580" customFormat="1" x14ac:dyDescent="0.25"/>
    <row r="105" s="580" customFormat="1" x14ac:dyDescent="0.25"/>
    <row r="106" s="580" customFormat="1" x14ac:dyDescent="0.25"/>
    <row r="107" s="580" customFormat="1" x14ac:dyDescent="0.25"/>
    <row r="108" s="580" customFormat="1" x14ac:dyDescent="0.25"/>
    <row r="109" s="580" customFormat="1" x14ac:dyDescent="0.25"/>
    <row r="110" s="580" customFormat="1" x14ac:dyDescent="0.25"/>
    <row r="111" s="580" customFormat="1" x14ac:dyDescent="0.25"/>
    <row r="112" s="580" customFormat="1" x14ac:dyDescent="0.25"/>
    <row r="113" s="580" customFormat="1" x14ac:dyDescent="0.25"/>
    <row r="114" s="580" customFormat="1" x14ac:dyDescent="0.25"/>
    <row r="115" s="580" customFormat="1" x14ac:dyDescent="0.25"/>
    <row r="116" s="580" customFormat="1" x14ac:dyDescent="0.25"/>
    <row r="117" s="580" customFormat="1" x14ac:dyDescent="0.25"/>
    <row r="118" s="580" customFormat="1" x14ac:dyDescent="0.25"/>
    <row r="119" s="580" customFormat="1" x14ac:dyDescent="0.25"/>
    <row r="120" s="580" customFormat="1" x14ac:dyDescent="0.25"/>
    <row r="121" s="580" customFormat="1" x14ac:dyDescent="0.25"/>
    <row r="122" s="580" customFormat="1" x14ac:dyDescent="0.25"/>
    <row r="123" s="580" customFormat="1" x14ac:dyDescent="0.25"/>
    <row r="124" s="580" customFormat="1" x14ac:dyDescent="0.25"/>
    <row r="125" s="580" customFormat="1" x14ac:dyDescent="0.25"/>
    <row r="126" s="580" customFormat="1" x14ac:dyDescent="0.25"/>
    <row r="127" s="580" customFormat="1" x14ac:dyDescent="0.25"/>
    <row r="128" s="580" customFormat="1" x14ac:dyDescent="0.25"/>
    <row r="129" s="580" customFormat="1" x14ac:dyDescent="0.25"/>
    <row r="130" s="580" customFormat="1" x14ac:dyDescent="0.25"/>
    <row r="131" s="580" customFormat="1" x14ac:dyDescent="0.25"/>
    <row r="132" s="580" customFormat="1" x14ac:dyDescent="0.25"/>
    <row r="133" s="580" customFormat="1" x14ac:dyDescent="0.25"/>
    <row r="134" s="580" customFormat="1" x14ac:dyDescent="0.25"/>
    <row r="135" s="580" customFormat="1" x14ac:dyDescent="0.25"/>
    <row r="136" s="580" customFormat="1" x14ac:dyDescent="0.25"/>
    <row r="137" s="580" customFormat="1" x14ac:dyDescent="0.25"/>
    <row r="138" s="580" customFormat="1" x14ac:dyDescent="0.25"/>
    <row r="139" s="580" customFormat="1" x14ac:dyDescent="0.25"/>
    <row r="140" s="580" customFormat="1" x14ac:dyDescent="0.25"/>
    <row r="141" s="580" customFormat="1" x14ac:dyDescent="0.25"/>
    <row r="142" s="580" customFormat="1" x14ac:dyDescent="0.25"/>
    <row r="143" s="580" customFormat="1" x14ac:dyDescent="0.25"/>
    <row r="144" s="580" customFormat="1" x14ac:dyDescent="0.25"/>
    <row r="145" s="580" customFormat="1" x14ac:dyDescent="0.25"/>
    <row r="146" s="580" customFormat="1" x14ac:dyDescent="0.25"/>
    <row r="147" s="580" customFormat="1" x14ac:dyDescent="0.25"/>
    <row r="148" s="580" customFormat="1" x14ac:dyDescent="0.25"/>
    <row r="149" s="580" customFormat="1" x14ac:dyDescent="0.25"/>
    <row r="150" s="580" customFormat="1" x14ac:dyDescent="0.25"/>
    <row r="151" s="580" customFormat="1" x14ac:dyDescent="0.25"/>
    <row r="152" s="580" customFormat="1" x14ac:dyDescent="0.25"/>
    <row r="153" s="580" customFormat="1" x14ac:dyDescent="0.25"/>
    <row r="154" s="580" customFormat="1" x14ac:dyDescent="0.25"/>
    <row r="155" s="580" customFormat="1" x14ac:dyDescent="0.25"/>
    <row r="156" s="580" customFormat="1" x14ac:dyDescent="0.25"/>
    <row r="157" s="580" customFormat="1" x14ac:dyDescent="0.25"/>
    <row r="158" s="580" customFormat="1" x14ac:dyDescent="0.25"/>
    <row r="159" s="580" customFormat="1" x14ac:dyDescent="0.25"/>
    <row r="160" s="580" customFormat="1" x14ac:dyDescent="0.25"/>
    <row r="161" s="580" customFormat="1" x14ac:dyDescent="0.25"/>
    <row r="162" s="580" customFormat="1" x14ac:dyDescent="0.25"/>
    <row r="163" s="580" customFormat="1" x14ac:dyDescent="0.25"/>
    <row r="164" s="580" customFormat="1" x14ac:dyDescent="0.25"/>
    <row r="165" s="580" customFormat="1" x14ac:dyDescent="0.25"/>
    <row r="166" s="580" customFormat="1" x14ac:dyDescent="0.25"/>
    <row r="167" s="580" customFormat="1" x14ac:dyDescent="0.25"/>
    <row r="168" s="580" customFormat="1" x14ac:dyDescent="0.25"/>
    <row r="169" s="580" customFormat="1" x14ac:dyDescent="0.25"/>
    <row r="170" s="580" customFormat="1" x14ac:dyDescent="0.25"/>
    <row r="171" s="580" customFormat="1" x14ac:dyDescent="0.25"/>
    <row r="172" s="580" customFormat="1" x14ac:dyDescent="0.25"/>
    <row r="173" s="580" customFormat="1" x14ac:dyDescent="0.25"/>
    <row r="174" s="580" customFormat="1" x14ac:dyDescent="0.25"/>
    <row r="175" s="580" customFormat="1" x14ac:dyDescent="0.25"/>
    <row r="176" s="580" customFormat="1" x14ac:dyDescent="0.25"/>
    <row r="177" s="580" customFormat="1" x14ac:dyDescent="0.25"/>
    <row r="178" s="580" customFormat="1" x14ac:dyDescent="0.25"/>
    <row r="179" s="580" customFormat="1" x14ac:dyDescent="0.25"/>
    <row r="180" s="580" customFormat="1" x14ac:dyDescent="0.25"/>
    <row r="181" s="580" customFormat="1" x14ac:dyDescent="0.25"/>
    <row r="182" s="580" customFormat="1" x14ac:dyDescent="0.25"/>
    <row r="183" s="580" customFormat="1" x14ac:dyDescent="0.25"/>
    <row r="184" s="580" customFormat="1" x14ac:dyDescent="0.25"/>
    <row r="185" s="580" customFormat="1" x14ac:dyDescent="0.25"/>
    <row r="186" s="580" customFormat="1" x14ac:dyDescent="0.25"/>
    <row r="187" s="580" customFormat="1" x14ac:dyDescent="0.25"/>
    <row r="188" s="580" customFormat="1" x14ac:dyDescent="0.25"/>
    <row r="189" s="580" customFormat="1" x14ac:dyDescent="0.25"/>
    <row r="190" s="580" customFormat="1" x14ac:dyDescent="0.25"/>
    <row r="191" s="580" customFormat="1" x14ac:dyDescent="0.25"/>
    <row r="192" s="580" customFormat="1" x14ac:dyDescent="0.25"/>
    <row r="193" s="580" customFormat="1" x14ac:dyDescent="0.25"/>
    <row r="194" s="580" customFormat="1" x14ac:dyDescent="0.25"/>
    <row r="195" s="580" customFormat="1" x14ac:dyDescent="0.25"/>
    <row r="196" s="580" customFormat="1" x14ac:dyDescent="0.25"/>
    <row r="197" s="580" customFormat="1" x14ac:dyDescent="0.25"/>
    <row r="198" s="580" customFormat="1" x14ac:dyDescent="0.25"/>
    <row r="199" s="580" customFormat="1" x14ac:dyDescent="0.25"/>
    <row r="200" s="580" customFormat="1" x14ac:dyDescent="0.25"/>
    <row r="201" s="580" customFormat="1" x14ac:dyDescent="0.25"/>
    <row r="202" s="580" customFormat="1" x14ac:dyDescent="0.25"/>
    <row r="203" s="580" customFormat="1" x14ac:dyDescent="0.25"/>
    <row r="204" s="580" customFormat="1" x14ac:dyDescent="0.25"/>
    <row r="205" s="580" customFormat="1" x14ac:dyDescent="0.25"/>
    <row r="206" s="580" customFormat="1" x14ac:dyDescent="0.25"/>
    <row r="207" s="580" customFormat="1" x14ac:dyDescent="0.25"/>
    <row r="208" s="580" customFormat="1" x14ac:dyDescent="0.25"/>
    <row r="209" s="580" customFormat="1" x14ac:dyDescent="0.25"/>
    <row r="210" s="580" customFormat="1" x14ac:dyDescent="0.25"/>
    <row r="211" s="580" customFormat="1" x14ac:dyDescent="0.25"/>
    <row r="212" s="580" customFormat="1" x14ac:dyDescent="0.25"/>
    <row r="213" s="580" customFormat="1" x14ac:dyDescent="0.25"/>
    <row r="214" s="580" customFormat="1" x14ac:dyDescent="0.25"/>
    <row r="215" s="580" customFormat="1" x14ac:dyDescent="0.25"/>
    <row r="216" s="580" customFormat="1" x14ac:dyDescent="0.25"/>
    <row r="217" s="580" customFormat="1" x14ac:dyDescent="0.25"/>
    <row r="218" s="580" customFormat="1" x14ac:dyDescent="0.25"/>
    <row r="219" s="580" customFormat="1" x14ac:dyDescent="0.25"/>
    <row r="220" s="580" customFormat="1" x14ac:dyDescent="0.25"/>
    <row r="221" s="580" customFormat="1" x14ac:dyDescent="0.25"/>
    <row r="222" s="580" customFormat="1" x14ac:dyDescent="0.25"/>
    <row r="223" s="580" customFormat="1" x14ac:dyDescent="0.25"/>
    <row r="224" s="580" customFormat="1" x14ac:dyDescent="0.25"/>
    <row r="225" s="580" customFormat="1" x14ac:dyDescent="0.25"/>
    <row r="226" s="580" customFormat="1" x14ac:dyDescent="0.25"/>
    <row r="227" s="580" customFormat="1" x14ac:dyDescent="0.25"/>
    <row r="228" s="580" customFormat="1" x14ac:dyDescent="0.25"/>
    <row r="229" s="580" customFormat="1" x14ac:dyDescent="0.25"/>
    <row r="230" s="580" customFormat="1" x14ac:dyDescent="0.25"/>
    <row r="231" s="580" customFormat="1" x14ac:dyDescent="0.25"/>
    <row r="232" s="580" customFormat="1" x14ac:dyDescent="0.25"/>
    <row r="233" s="580" customFormat="1" x14ac:dyDescent="0.25"/>
    <row r="234" s="580" customFormat="1" x14ac:dyDescent="0.25"/>
    <row r="235" s="580" customFormat="1" x14ac:dyDescent="0.25"/>
    <row r="236" s="580" customFormat="1" x14ac:dyDescent="0.25"/>
    <row r="237" s="580" customFormat="1" x14ac:dyDescent="0.25"/>
    <row r="238" s="580" customFormat="1" x14ac:dyDescent="0.25"/>
    <row r="239" s="580" customFormat="1" x14ac:dyDescent="0.25"/>
    <row r="240" s="580" customFormat="1" x14ac:dyDescent="0.25"/>
    <row r="241" s="580" customFormat="1" x14ac:dyDescent="0.25"/>
    <row r="242" s="580" customFormat="1" x14ac:dyDescent="0.25"/>
    <row r="243" s="580" customFormat="1" x14ac:dyDescent="0.25"/>
    <row r="244" s="580" customFormat="1" x14ac:dyDescent="0.25"/>
    <row r="245" s="580" customFormat="1" x14ac:dyDescent="0.25"/>
    <row r="246" s="580" customFormat="1" x14ac:dyDescent="0.25"/>
    <row r="247" s="580" customFormat="1" x14ac:dyDescent="0.25"/>
    <row r="248" s="580" customFormat="1" x14ac:dyDescent="0.25"/>
    <row r="249" s="580" customFormat="1" x14ac:dyDescent="0.25"/>
    <row r="250" s="580" customFormat="1" x14ac:dyDescent="0.25"/>
    <row r="251" s="580" customFormat="1" x14ac:dyDescent="0.25"/>
    <row r="252" s="580" customFormat="1" x14ac:dyDescent="0.25"/>
    <row r="253" s="580" customFormat="1" x14ac:dyDescent="0.25"/>
    <row r="254" s="580" customFormat="1" x14ac:dyDescent="0.25"/>
    <row r="255" s="580" customFormat="1" x14ac:dyDescent="0.25"/>
    <row r="256" s="580" customFormat="1" x14ac:dyDescent="0.25"/>
    <row r="257" s="580" customFormat="1" x14ac:dyDescent="0.25"/>
    <row r="258" s="580" customFormat="1" x14ac:dyDescent="0.25"/>
    <row r="259" s="580" customFormat="1" x14ac:dyDescent="0.25"/>
    <row r="260" s="580" customFormat="1" x14ac:dyDescent="0.25"/>
    <row r="261" s="580" customFormat="1" x14ac:dyDescent="0.25"/>
    <row r="262" s="580" customFormat="1" x14ac:dyDescent="0.25"/>
    <row r="263" s="580" customFormat="1" x14ac:dyDescent="0.25"/>
    <row r="264" s="580" customFormat="1" x14ac:dyDescent="0.25"/>
    <row r="265" s="580" customFormat="1" x14ac:dyDescent="0.25"/>
    <row r="266" s="580" customFormat="1" x14ac:dyDescent="0.25"/>
    <row r="267" s="580" customFormat="1" x14ac:dyDescent="0.25"/>
    <row r="268" s="580" customFormat="1" x14ac:dyDescent="0.25"/>
    <row r="269" s="580" customFormat="1" x14ac:dyDescent="0.25"/>
    <row r="270" s="580" customFormat="1" x14ac:dyDescent="0.25"/>
    <row r="271" s="580" customFormat="1" x14ac:dyDescent="0.25"/>
    <row r="272" s="580" customFormat="1" x14ac:dyDescent="0.25"/>
    <row r="273" s="580" customFormat="1" x14ac:dyDescent="0.25"/>
    <row r="274" s="580" customFormat="1" x14ac:dyDescent="0.25"/>
    <row r="275" s="580" customFormat="1" x14ac:dyDescent="0.25"/>
    <row r="276" s="580" customFormat="1" x14ac:dyDescent="0.25"/>
    <row r="277" s="580" customFormat="1" x14ac:dyDescent="0.25"/>
    <row r="278" s="580" customFormat="1" x14ac:dyDescent="0.25"/>
    <row r="279" s="580" customFormat="1" x14ac:dyDescent="0.25"/>
    <row r="280" s="580" customFormat="1" x14ac:dyDescent="0.25"/>
    <row r="281" s="580" customFormat="1" x14ac:dyDescent="0.25"/>
    <row r="282" s="580" customFormat="1" x14ac:dyDescent="0.25"/>
    <row r="283" s="580" customFormat="1" x14ac:dyDescent="0.25"/>
    <row r="284" s="580" customFormat="1" x14ac:dyDescent="0.25"/>
    <row r="285" s="580" customFormat="1" x14ac:dyDescent="0.25"/>
    <row r="286" s="580" customFormat="1" x14ac:dyDescent="0.25"/>
    <row r="287" s="580" customFormat="1" x14ac:dyDescent="0.25"/>
    <row r="288" s="580" customFormat="1" x14ac:dyDescent="0.25"/>
    <row r="289" s="580" customFormat="1" x14ac:dyDescent="0.25"/>
    <row r="290" s="580" customFormat="1" x14ac:dyDescent="0.25"/>
    <row r="291" s="580" customFormat="1" x14ac:dyDescent="0.25"/>
    <row r="292" s="580" customFormat="1" x14ac:dyDescent="0.25"/>
    <row r="293" s="580" customFormat="1" x14ac:dyDescent="0.25"/>
    <row r="294" s="580" customFormat="1" x14ac:dyDescent="0.25"/>
    <row r="295" s="580" customFormat="1" x14ac:dyDescent="0.25"/>
    <row r="296" s="580" customFormat="1" x14ac:dyDescent="0.25"/>
    <row r="297" s="580" customFormat="1" x14ac:dyDescent="0.25"/>
    <row r="298" s="580" customFormat="1" x14ac:dyDescent="0.25"/>
    <row r="299" s="580" customFormat="1" x14ac:dyDescent="0.25"/>
    <row r="300" s="580" customFormat="1" x14ac:dyDescent="0.25"/>
    <row r="301" s="580" customFormat="1" x14ac:dyDescent="0.25"/>
    <row r="302" s="580" customFormat="1" x14ac:dyDescent="0.25"/>
    <row r="303" s="580" customFormat="1" x14ac:dyDescent="0.25"/>
    <row r="304" s="580" customFormat="1" x14ac:dyDescent="0.25"/>
    <row r="305" s="580" customFormat="1" x14ac:dyDescent="0.25"/>
    <row r="306" s="580" customFormat="1" x14ac:dyDescent="0.25"/>
    <row r="307" s="580" customFormat="1" x14ac:dyDescent="0.25"/>
    <row r="308" s="580" customFormat="1" x14ac:dyDescent="0.25"/>
    <row r="309" s="580" customFormat="1" x14ac:dyDescent="0.25"/>
    <row r="310" s="580" customFormat="1" x14ac:dyDescent="0.25"/>
    <row r="311" s="580" customFormat="1" x14ac:dyDescent="0.25"/>
    <row r="312" s="580" customFormat="1" x14ac:dyDescent="0.25"/>
    <row r="313" s="580" customFormat="1" x14ac:dyDescent="0.25"/>
    <row r="314" s="580" customFormat="1" x14ac:dyDescent="0.25"/>
    <row r="315" s="580" customFormat="1" x14ac:dyDescent="0.25"/>
    <row r="316" s="580" customFormat="1" x14ac:dyDescent="0.25"/>
    <row r="317" s="580" customFormat="1" x14ac:dyDescent="0.25"/>
    <row r="318" s="580" customFormat="1" x14ac:dyDescent="0.25"/>
    <row r="319" s="580" customFormat="1" x14ac:dyDescent="0.25"/>
    <row r="320" s="580" customFormat="1" x14ac:dyDescent="0.25"/>
    <row r="321" s="580" customFormat="1" x14ac:dyDescent="0.25"/>
    <row r="322" s="580" customFormat="1" x14ac:dyDescent="0.25"/>
    <row r="323" s="580" customFormat="1" x14ac:dyDescent="0.25"/>
    <row r="324" s="580" customFormat="1" x14ac:dyDescent="0.25"/>
    <row r="325" s="580" customFormat="1" x14ac:dyDescent="0.25"/>
    <row r="326" s="580" customFormat="1" x14ac:dyDescent="0.25"/>
    <row r="327" s="580" customFormat="1" x14ac:dyDescent="0.25"/>
    <row r="328" s="580" customFormat="1" x14ac:dyDescent="0.25"/>
    <row r="329" s="580" customFormat="1" x14ac:dyDescent="0.25"/>
    <row r="330" s="580" customFormat="1" x14ac:dyDescent="0.25"/>
    <row r="331" s="580" customFormat="1" x14ac:dyDescent="0.25"/>
    <row r="332" s="580" customFormat="1" x14ac:dyDescent="0.25"/>
    <row r="333" s="580" customFormat="1" x14ac:dyDescent="0.25"/>
    <row r="334" s="580" customFormat="1" x14ac:dyDescent="0.25"/>
    <row r="335" s="580" customFormat="1" x14ac:dyDescent="0.25"/>
    <row r="336" s="580" customFormat="1" x14ac:dyDescent="0.25"/>
    <row r="337" s="580" customFormat="1" x14ac:dyDescent="0.25"/>
    <row r="338" s="580" customFormat="1" x14ac:dyDescent="0.25"/>
    <row r="339" s="580" customFormat="1" x14ac:dyDescent="0.25"/>
    <row r="340" s="580" customFormat="1" x14ac:dyDescent="0.25"/>
    <row r="341" s="580" customFormat="1" x14ac:dyDescent="0.25"/>
    <row r="342" s="580" customFormat="1" x14ac:dyDescent="0.25"/>
    <row r="343" s="580" customFormat="1" x14ac:dyDescent="0.25"/>
    <row r="344" s="580" customFormat="1" x14ac:dyDescent="0.25"/>
    <row r="345" s="580" customFormat="1" x14ac:dyDescent="0.25"/>
    <row r="346" s="580" customFormat="1" x14ac:dyDescent="0.25"/>
    <row r="347" s="580" customFormat="1" x14ac:dyDescent="0.25"/>
    <row r="348" s="580" customFormat="1" x14ac:dyDescent="0.25"/>
    <row r="349" s="580" customFormat="1" x14ac:dyDescent="0.25"/>
    <row r="350" s="580" customFormat="1" x14ac:dyDescent="0.25"/>
    <row r="351" s="580" customFormat="1" x14ac:dyDescent="0.25"/>
    <row r="352" s="580" customFormat="1" x14ac:dyDescent="0.25"/>
    <row r="353" s="580" customFormat="1" x14ac:dyDescent="0.25"/>
    <row r="354" s="580" customFormat="1" x14ac:dyDescent="0.25"/>
    <row r="355" s="580" customFormat="1" x14ac:dyDescent="0.25"/>
    <row r="356" s="580" customFormat="1" x14ac:dyDescent="0.25"/>
    <row r="357" s="580" customFormat="1" x14ac:dyDescent="0.25"/>
    <row r="358" s="580" customFormat="1" x14ac:dyDescent="0.25"/>
    <row r="359" s="580" customFormat="1" x14ac:dyDescent="0.25"/>
    <row r="360" s="580" customFormat="1" x14ac:dyDescent="0.25"/>
    <row r="361" s="580" customFormat="1" x14ac:dyDescent="0.25"/>
    <row r="362" s="580" customFormat="1" x14ac:dyDescent="0.25"/>
    <row r="363" s="580" customFormat="1" x14ac:dyDescent="0.25"/>
    <row r="364" s="580" customFormat="1" x14ac:dyDescent="0.25"/>
    <row r="365" s="580" customFormat="1" x14ac:dyDescent="0.25"/>
    <row r="366" s="580" customFormat="1" x14ac:dyDescent="0.25"/>
    <row r="367" s="580" customFormat="1" x14ac:dyDescent="0.25"/>
    <row r="368" s="580" customFormat="1" x14ac:dyDescent="0.25"/>
    <row r="369" s="580" customFormat="1" x14ac:dyDescent="0.25"/>
    <row r="370" s="580" customFormat="1" x14ac:dyDescent="0.25"/>
    <row r="371" s="580" customFormat="1" x14ac:dyDescent="0.25"/>
    <row r="372" s="580" customFormat="1" x14ac:dyDescent="0.25"/>
    <row r="373" s="580" customFormat="1" x14ac:dyDescent="0.25"/>
    <row r="374" s="580" customFormat="1" x14ac:dyDescent="0.25"/>
    <row r="375" s="580" customFormat="1" x14ac:dyDescent="0.25"/>
    <row r="376" s="580" customFormat="1" x14ac:dyDescent="0.25"/>
    <row r="377" s="580" customFormat="1" x14ac:dyDescent="0.25"/>
    <row r="378" s="580" customFormat="1" x14ac:dyDescent="0.25"/>
    <row r="379" s="580" customFormat="1" x14ac:dyDescent="0.25"/>
    <row r="380" s="580" customFormat="1" x14ac:dyDescent="0.25"/>
    <row r="381" s="580" customFormat="1" x14ac:dyDescent="0.25"/>
    <row r="382" s="580" customFormat="1" x14ac:dyDescent="0.25"/>
    <row r="383" s="580" customFormat="1" x14ac:dyDescent="0.25"/>
    <row r="384" s="580" customFormat="1" x14ac:dyDescent="0.25"/>
    <row r="385" s="580" customFormat="1" x14ac:dyDescent="0.25"/>
    <row r="386" s="580" customFormat="1" x14ac:dyDescent="0.25"/>
    <row r="387" s="580" customFormat="1" x14ac:dyDescent="0.25"/>
    <row r="388" s="580" customFormat="1" x14ac:dyDescent="0.25"/>
    <row r="389" s="580" customFormat="1" x14ac:dyDescent="0.25"/>
    <row r="390" s="580" customFormat="1" x14ac:dyDescent="0.25"/>
    <row r="391" s="580" customFormat="1" x14ac:dyDescent="0.25"/>
    <row r="392" s="580" customFormat="1" x14ac:dyDescent="0.25"/>
    <row r="393" s="580" customFormat="1" x14ac:dyDescent="0.25"/>
    <row r="394" s="580" customFormat="1" x14ac:dyDescent="0.25"/>
    <row r="395" s="580" customFormat="1" x14ac:dyDescent="0.25"/>
    <row r="396" s="580" customFormat="1" x14ac:dyDescent="0.25"/>
    <row r="397" s="580" customFormat="1" x14ac:dyDescent="0.25"/>
    <row r="398" s="580" customFormat="1" x14ac:dyDescent="0.25"/>
    <row r="399" s="580" customFormat="1" x14ac:dyDescent="0.25"/>
    <row r="400" s="580" customFormat="1" x14ac:dyDescent="0.25"/>
    <row r="401" s="580" customFormat="1" x14ac:dyDescent="0.25"/>
    <row r="402" s="580" customFormat="1" x14ac:dyDescent="0.25"/>
    <row r="403" s="580" customFormat="1" x14ac:dyDescent="0.25"/>
    <row r="404" s="580" customFormat="1" x14ac:dyDescent="0.25"/>
    <row r="405" s="580" customFormat="1" x14ac:dyDescent="0.25"/>
    <row r="406" s="580" customFormat="1" x14ac:dyDescent="0.25"/>
    <row r="407" s="580" customFormat="1" x14ac:dyDescent="0.25"/>
    <row r="408" s="580" customFormat="1" x14ac:dyDescent="0.25"/>
    <row r="409" s="580" customFormat="1" x14ac:dyDescent="0.25"/>
    <row r="410" s="580" customFormat="1" x14ac:dyDescent="0.25"/>
    <row r="411" s="580" customFormat="1" x14ac:dyDescent="0.25"/>
    <row r="412" s="580" customFormat="1" x14ac:dyDescent="0.25"/>
    <row r="413" s="580" customFormat="1" x14ac:dyDescent="0.25"/>
    <row r="414" s="580" customFormat="1" x14ac:dyDescent="0.25"/>
    <row r="415" s="580" customFormat="1" x14ac:dyDescent="0.25"/>
    <row r="416" s="580" customFormat="1" x14ac:dyDescent="0.25"/>
    <row r="417" s="580" customFormat="1" x14ac:dyDescent="0.25"/>
    <row r="418" s="580" customFormat="1" x14ac:dyDescent="0.25"/>
    <row r="419" s="580" customFormat="1" x14ac:dyDescent="0.25"/>
    <row r="420" s="580" customFormat="1" x14ac:dyDescent="0.25"/>
    <row r="421" s="580" customFormat="1" x14ac:dyDescent="0.25"/>
    <row r="422" s="580" customFormat="1" x14ac:dyDescent="0.25"/>
    <row r="423" s="580" customFormat="1" x14ac:dyDescent="0.25"/>
    <row r="424" s="580" customFormat="1" x14ac:dyDescent="0.25"/>
    <row r="425" s="580" customFormat="1" x14ac:dyDescent="0.25"/>
    <row r="426" s="580" customFormat="1" x14ac:dyDescent="0.25"/>
    <row r="427" s="580" customFormat="1" x14ac:dyDescent="0.25"/>
    <row r="428" s="580" customFormat="1" x14ac:dyDescent="0.25"/>
    <row r="429" s="580" customFormat="1" x14ac:dyDescent="0.25"/>
    <row r="430" s="580" customFormat="1" x14ac:dyDescent="0.25"/>
    <row r="431" s="580" customFormat="1" x14ac:dyDescent="0.25"/>
    <row r="432" s="580" customFormat="1" x14ac:dyDescent="0.25"/>
    <row r="433" s="580" customFormat="1" x14ac:dyDescent="0.25"/>
    <row r="434" s="580" customFormat="1" x14ac:dyDescent="0.25"/>
    <row r="435" s="580" customFormat="1" x14ac:dyDescent="0.25"/>
    <row r="436" s="580" customFormat="1" x14ac:dyDescent="0.25"/>
    <row r="437" s="580" customFormat="1" x14ac:dyDescent="0.25"/>
    <row r="438" s="580" customFormat="1" x14ac:dyDescent="0.25"/>
    <row r="439" s="580" customFormat="1" x14ac:dyDescent="0.25"/>
    <row r="440" s="580" customFormat="1" x14ac:dyDescent="0.25"/>
    <row r="441" s="580" customFormat="1" x14ac:dyDescent="0.25"/>
    <row r="442" s="580" customFormat="1" x14ac:dyDescent="0.25"/>
    <row r="443" s="580" customFormat="1" x14ac:dyDescent="0.25"/>
    <row r="444" s="580" customFormat="1" x14ac:dyDescent="0.25"/>
    <row r="445" s="580" customFormat="1" x14ac:dyDescent="0.25"/>
    <row r="446" s="580" customFormat="1" x14ac:dyDescent="0.25"/>
    <row r="447" s="580" customFormat="1" x14ac:dyDescent="0.25"/>
    <row r="448" s="580" customFormat="1" x14ac:dyDescent="0.25"/>
    <row r="449" s="580" customFormat="1" x14ac:dyDescent="0.25"/>
    <row r="450" s="580" customFormat="1" x14ac:dyDescent="0.25"/>
    <row r="451" s="580" customFormat="1" x14ac:dyDescent="0.25"/>
    <row r="452" s="580" customFormat="1" x14ac:dyDescent="0.25"/>
    <row r="453" s="580" customFormat="1" x14ac:dyDescent="0.25"/>
    <row r="454" s="580" customFormat="1" x14ac:dyDescent="0.25"/>
    <row r="455" s="580" customFormat="1" x14ac:dyDescent="0.25"/>
    <row r="456" s="580" customFormat="1" x14ac:dyDescent="0.25"/>
    <row r="457" s="580" customFormat="1" x14ac:dyDescent="0.25"/>
    <row r="458" s="580" customFormat="1" x14ac:dyDescent="0.25"/>
    <row r="459" s="580" customFormat="1" x14ac:dyDescent="0.25"/>
    <row r="460" s="580" customFormat="1" x14ac:dyDescent="0.25"/>
    <row r="461" s="580" customFormat="1" x14ac:dyDescent="0.25"/>
    <row r="462" s="580" customFormat="1" x14ac:dyDescent="0.25"/>
    <row r="463" s="580" customFormat="1" x14ac:dyDescent="0.25"/>
    <row r="464" s="580" customFormat="1" x14ac:dyDescent="0.25"/>
    <row r="465" s="580" customFormat="1" x14ac:dyDescent="0.25"/>
    <row r="466" s="580" customFormat="1" x14ac:dyDescent="0.25"/>
    <row r="467" s="580" customFormat="1" x14ac:dyDescent="0.25"/>
    <row r="468" s="580" customFormat="1" x14ac:dyDescent="0.25"/>
    <row r="469" s="580" customFormat="1" x14ac:dyDescent="0.25"/>
    <row r="470" s="580" customFormat="1" x14ac:dyDescent="0.25"/>
    <row r="471" s="580" customFormat="1" x14ac:dyDescent="0.25"/>
    <row r="472" s="580" customFormat="1" x14ac:dyDescent="0.25"/>
    <row r="473" s="580" customFormat="1" x14ac:dyDescent="0.25"/>
    <row r="474" s="580" customFormat="1" x14ac:dyDescent="0.25"/>
    <row r="475" s="580" customFormat="1" x14ac:dyDescent="0.25"/>
    <row r="476" s="580" customFormat="1" x14ac:dyDescent="0.25"/>
    <row r="477" s="580" customFormat="1" x14ac:dyDescent="0.25"/>
    <row r="478" s="580" customFormat="1" x14ac:dyDescent="0.25"/>
    <row r="479" s="580" customFormat="1" x14ac:dyDescent="0.25"/>
    <row r="480" s="580" customFormat="1" x14ac:dyDescent="0.25"/>
    <row r="481" s="580" customFormat="1" x14ac:dyDescent="0.25"/>
    <row r="482" s="580" customFormat="1" x14ac:dyDescent="0.25"/>
    <row r="483" s="580" customFormat="1" x14ac:dyDescent="0.25"/>
    <row r="484" s="580" customFormat="1" x14ac:dyDescent="0.25"/>
    <row r="485" s="580" customFormat="1" x14ac:dyDescent="0.25"/>
    <row r="486" s="580" customFormat="1" x14ac:dyDescent="0.25"/>
    <row r="487" s="580" customFormat="1" x14ac:dyDescent="0.25"/>
    <row r="488" s="580" customFormat="1" x14ac:dyDescent="0.25"/>
    <row r="489" s="580" customFormat="1" x14ac:dyDescent="0.25"/>
    <row r="490" s="580" customFormat="1" x14ac:dyDescent="0.25"/>
    <row r="491" s="580" customFormat="1" x14ac:dyDescent="0.25"/>
    <row r="492" s="580" customFormat="1" x14ac:dyDescent="0.25"/>
    <row r="493" s="580" customFormat="1" x14ac:dyDescent="0.25"/>
    <row r="494" s="580" customFormat="1" x14ac:dyDescent="0.25"/>
    <row r="495" s="580" customFormat="1" x14ac:dyDescent="0.25"/>
    <row r="496" s="580" customFormat="1" x14ac:dyDescent="0.25"/>
    <row r="497" s="580" customFormat="1" x14ac:dyDescent="0.25"/>
    <row r="498" s="580" customFormat="1" x14ac:dyDescent="0.25"/>
    <row r="499" s="580" customFormat="1" x14ac:dyDescent="0.25"/>
    <row r="500" s="580" customFormat="1" x14ac:dyDescent="0.25"/>
    <row r="501" s="580" customFormat="1" x14ac:dyDescent="0.25"/>
    <row r="502" s="580" customFormat="1" x14ac:dyDescent="0.25"/>
    <row r="503" s="580" customFormat="1" x14ac:dyDescent="0.25"/>
    <row r="504" s="580" customFormat="1" x14ac:dyDescent="0.25"/>
    <row r="505" s="580" customFormat="1" x14ac:dyDescent="0.25"/>
    <row r="506" s="580" customFormat="1" x14ac:dyDescent="0.25"/>
    <row r="507" s="580" customFormat="1" x14ac:dyDescent="0.25"/>
    <row r="508" s="580" customFormat="1" x14ac:dyDescent="0.25"/>
    <row r="509" s="580" customFormat="1" x14ac:dyDescent="0.25"/>
    <row r="510" s="580" customFormat="1" x14ac:dyDescent="0.25"/>
    <row r="511" s="580" customFormat="1" x14ac:dyDescent="0.25"/>
    <row r="512" s="580" customFormat="1" x14ac:dyDescent="0.25"/>
    <row r="513" s="580" customFormat="1" x14ac:dyDescent="0.25"/>
    <row r="514" s="580" customFormat="1" x14ac:dyDescent="0.25"/>
    <row r="515" s="580" customFormat="1" x14ac:dyDescent="0.25"/>
    <row r="516" s="580" customFormat="1" x14ac:dyDescent="0.25"/>
    <row r="517" s="580" customFormat="1" x14ac:dyDescent="0.25"/>
    <row r="518" s="580" customFormat="1" x14ac:dyDescent="0.25"/>
    <row r="519" s="580" customFormat="1" x14ac:dyDescent="0.25"/>
    <row r="520" s="580" customFormat="1" x14ac:dyDescent="0.25"/>
    <row r="521" s="580" customFormat="1" x14ac:dyDescent="0.25"/>
    <row r="522" s="580" customFormat="1" x14ac:dyDescent="0.25"/>
    <row r="523" s="580" customFormat="1" x14ac:dyDescent="0.25"/>
    <row r="524" s="580" customFormat="1" x14ac:dyDescent="0.25"/>
    <row r="525" s="580" customFormat="1" x14ac:dyDescent="0.25"/>
    <row r="526" s="580" customFormat="1" x14ac:dyDescent="0.25"/>
    <row r="527" s="580" customFormat="1" x14ac:dyDescent="0.25"/>
    <row r="528" s="580" customFormat="1" x14ac:dyDescent="0.25"/>
    <row r="529" s="580" customFormat="1" x14ac:dyDescent="0.25"/>
    <row r="530" s="580" customFormat="1" x14ac:dyDescent="0.25"/>
    <row r="531" s="580" customFormat="1" x14ac:dyDescent="0.25"/>
    <row r="532" s="580" customFormat="1" x14ac:dyDescent="0.25"/>
    <row r="533" s="580" customFormat="1" x14ac:dyDescent="0.25"/>
    <row r="534" s="580" customFormat="1" x14ac:dyDescent="0.25"/>
    <row r="535" s="580" customFormat="1" x14ac:dyDescent="0.25"/>
    <row r="536" s="580" customFormat="1" x14ac:dyDescent="0.25"/>
    <row r="537" s="580" customFormat="1" x14ac:dyDescent="0.25"/>
    <row r="538" s="580" customFormat="1" x14ac:dyDescent="0.25"/>
    <row r="539" s="580" customFormat="1" x14ac:dyDescent="0.25"/>
    <row r="540" s="580" customFormat="1" x14ac:dyDescent="0.25"/>
    <row r="541" s="580" customFormat="1" x14ac:dyDescent="0.25"/>
    <row r="542" s="580" customFormat="1" x14ac:dyDescent="0.25"/>
    <row r="543" s="580" customFormat="1" x14ac:dyDescent="0.25"/>
    <row r="544" s="580" customFormat="1" x14ac:dyDescent="0.25"/>
    <row r="545" s="580" customFormat="1" x14ac:dyDescent="0.25"/>
    <row r="546" s="580" customFormat="1" x14ac:dyDescent="0.25"/>
    <row r="547" s="580" customFormat="1" x14ac:dyDescent="0.25"/>
    <row r="548" s="580" customFormat="1" x14ac:dyDescent="0.25"/>
    <row r="549" s="580" customFormat="1" x14ac:dyDescent="0.25"/>
    <row r="550" s="580" customFormat="1" x14ac:dyDescent="0.25"/>
    <row r="551" s="580" customFormat="1" x14ac:dyDescent="0.25"/>
    <row r="552" s="580" customFormat="1" x14ac:dyDescent="0.25"/>
    <row r="553" s="580" customFormat="1" x14ac:dyDescent="0.25"/>
    <row r="554" s="580" customFormat="1" x14ac:dyDescent="0.25"/>
    <row r="555" s="580" customFormat="1" x14ac:dyDescent="0.25"/>
    <row r="556" s="580" customFormat="1" x14ac:dyDescent="0.25"/>
    <row r="557" s="580" customFormat="1" x14ac:dyDescent="0.25"/>
    <row r="558" s="580" customFormat="1" x14ac:dyDescent="0.25"/>
    <row r="559" s="580" customFormat="1" x14ac:dyDescent="0.25"/>
    <row r="560" s="580" customFormat="1" x14ac:dyDescent="0.25"/>
    <row r="561" s="580" customFormat="1" x14ac:dyDescent="0.25"/>
    <row r="562" s="580" customFormat="1" x14ac:dyDescent="0.25"/>
    <row r="563" s="580" customFormat="1" x14ac:dyDescent="0.25"/>
    <row r="564" s="580" customFormat="1" x14ac:dyDescent="0.25"/>
    <row r="565" s="580" customFormat="1" x14ac:dyDescent="0.25"/>
    <row r="566" s="580" customFormat="1" x14ac:dyDescent="0.25"/>
    <row r="567" s="580" customFormat="1" x14ac:dyDescent="0.25"/>
    <row r="568" s="580" customFormat="1" x14ac:dyDescent="0.25"/>
    <row r="569" s="580" customFormat="1" x14ac:dyDescent="0.25"/>
    <row r="570" s="580" customFormat="1" x14ac:dyDescent="0.25"/>
    <row r="571" s="580" customFormat="1" x14ac:dyDescent="0.25"/>
    <row r="572" s="580" customFormat="1" x14ac:dyDescent="0.25"/>
    <row r="573" s="580" customFormat="1" x14ac:dyDescent="0.25"/>
    <row r="574" s="580" customFormat="1" x14ac:dyDescent="0.25"/>
    <row r="575" s="580" customFormat="1" x14ac:dyDescent="0.25"/>
    <row r="576" s="580" customFormat="1" x14ac:dyDescent="0.25"/>
    <row r="577" s="580" customFormat="1" x14ac:dyDescent="0.25"/>
    <row r="578" s="580" customFormat="1" x14ac:dyDescent="0.25"/>
    <row r="579" s="580" customFormat="1" x14ac:dyDescent="0.25"/>
    <row r="580" s="580" customFormat="1" x14ac:dyDescent="0.25"/>
    <row r="581" s="580" customFormat="1" x14ac:dyDescent="0.25"/>
    <row r="582" s="580" customFormat="1" x14ac:dyDescent="0.25"/>
    <row r="583" s="580" customFormat="1" x14ac:dyDescent="0.25"/>
    <row r="584" s="580" customFormat="1" x14ac:dyDescent="0.25"/>
    <row r="585" s="580" customFormat="1" x14ac:dyDescent="0.25"/>
    <row r="586" s="580" customFormat="1" x14ac:dyDescent="0.25"/>
    <row r="587" s="580" customFormat="1" x14ac:dyDescent="0.25"/>
    <row r="588" s="580" customFormat="1" x14ac:dyDescent="0.25"/>
    <row r="589" s="580" customFormat="1" x14ac:dyDescent="0.25"/>
    <row r="590" s="580" customFormat="1" x14ac:dyDescent="0.25"/>
    <row r="591" s="580" customFormat="1" x14ac:dyDescent="0.25"/>
    <row r="592" s="580" customFormat="1" x14ac:dyDescent="0.25"/>
    <row r="593" s="580" customFormat="1" x14ac:dyDescent="0.25"/>
    <row r="594" s="580" customFormat="1" x14ac:dyDescent="0.25"/>
    <row r="595" s="580" customFormat="1" x14ac:dyDescent="0.25"/>
    <row r="596" s="580" customFormat="1" x14ac:dyDescent="0.25"/>
    <row r="597" s="580" customFormat="1" x14ac:dyDescent="0.25"/>
    <row r="598" s="580" customFormat="1" x14ac:dyDescent="0.25"/>
    <row r="599" s="580" customFormat="1" x14ac:dyDescent="0.25"/>
    <row r="600" s="580" customFormat="1" x14ac:dyDescent="0.25"/>
    <row r="601" s="580" customFormat="1" x14ac:dyDescent="0.25"/>
    <row r="602" s="580" customFormat="1" x14ac:dyDescent="0.25"/>
    <row r="603" s="580" customFormat="1" x14ac:dyDescent="0.25"/>
    <row r="604" s="580" customFormat="1" x14ac:dyDescent="0.25"/>
    <row r="605" s="580" customFormat="1" x14ac:dyDescent="0.25"/>
    <row r="606" s="580" customFormat="1" x14ac:dyDescent="0.25"/>
    <row r="607" s="580" customFormat="1" x14ac:dyDescent="0.25"/>
    <row r="608" s="580" customFormat="1" x14ac:dyDescent="0.25"/>
    <row r="609" s="580" customFormat="1" x14ac:dyDescent="0.25"/>
    <row r="610" s="580" customFormat="1" x14ac:dyDescent="0.25"/>
    <row r="611" s="580" customFormat="1" x14ac:dyDescent="0.25"/>
    <row r="612" s="580" customFormat="1" x14ac:dyDescent="0.25"/>
    <row r="613" s="580" customFormat="1" x14ac:dyDescent="0.25"/>
    <row r="614" s="580" customFormat="1" x14ac:dyDescent="0.25"/>
    <row r="615" s="580" customFormat="1" x14ac:dyDescent="0.25"/>
    <row r="616" s="580" customFormat="1" x14ac:dyDescent="0.25"/>
    <row r="617" s="580" customFormat="1" x14ac:dyDescent="0.25"/>
    <row r="618" s="580" customFormat="1" x14ac:dyDescent="0.25"/>
    <row r="619" s="580" customFormat="1" x14ac:dyDescent="0.25"/>
    <row r="620" s="580" customFormat="1" x14ac:dyDescent="0.25"/>
    <row r="621" s="580" customFormat="1" x14ac:dyDescent="0.25"/>
    <row r="622" s="580" customFormat="1" x14ac:dyDescent="0.25"/>
    <row r="623" s="580" customFormat="1" x14ac:dyDescent="0.25"/>
    <row r="624" s="580" customFormat="1" x14ac:dyDescent="0.25"/>
    <row r="625" s="580" customFormat="1" x14ac:dyDescent="0.25"/>
    <row r="626" s="580" customFormat="1" x14ac:dyDescent="0.25"/>
    <row r="627" s="580" customFormat="1" x14ac:dyDescent="0.25"/>
    <row r="628" s="580" customFormat="1" x14ac:dyDescent="0.25"/>
    <row r="629" s="580" customFormat="1" x14ac:dyDescent="0.25"/>
    <row r="630" s="580" customFormat="1" x14ac:dyDescent="0.25"/>
    <row r="631" s="580" customFormat="1" x14ac:dyDescent="0.25"/>
    <row r="632" s="580" customFormat="1" x14ac:dyDescent="0.25"/>
    <row r="633" s="580" customFormat="1" x14ac:dyDescent="0.25"/>
    <row r="634" s="580" customFormat="1" x14ac:dyDescent="0.25"/>
    <row r="635" s="580" customFormat="1" x14ac:dyDescent="0.25"/>
    <row r="636" s="580" customFormat="1" x14ac:dyDescent="0.25"/>
    <row r="637" s="580" customFormat="1" x14ac:dyDescent="0.25"/>
    <row r="638" s="580" customFormat="1" x14ac:dyDescent="0.25"/>
    <row r="639" s="580" customFormat="1" x14ac:dyDescent="0.25"/>
    <row r="640" s="580" customFormat="1" x14ac:dyDescent="0.25"/>
    <row r="641" s="580" customFormat="1" x14ac:dyDescent="0.25"/>
    <row r="642" s="580" customFormat="1" x14ac:dyDescent="0.25"/>
    <row r="643" s="580" customFormat="1" x14ac:dyDescent="0.25"/>
    <row r="644" s="580" customFormat="1" x14ac:dyDescent="0.25"/>
    <row r="645" s="580" customFormat="1" x14ac:dyDescent="0.25"/>
    <row r="646" s="580" customFormat="1" x14ac:dyDescent="0.25"/>
    <row r="647" s="580" customFormat="1" x14ac:dyDescent="0.25"/>
    <row r="648" s="580" customFormat="1" x14ac:dyDescent="0.25"/>
    <row r="649" s="580" customFormat="1" x14ac:dyDescent="0.25"/>
    <row r="650" s="580" customFormat="1" x14ac:dyDescent="0.25"/>
    <row r="651" s="580" customFormat="1" x14ac:dyDescent="0.25"/>
    <row r="652" s="580" customFormat="1" x14ac:dyDescent="0.25"/>
    <row r="653" s="580" customFormat="1" x14ac:dyDescent="0.25"/>
    <row r="654" s="580" customFormat="1" x14ac:dyDescent="0.25"/>
    <row r="655" s="580" customFormat="1" x14ac:dyDescent="0.25"/>
    <row r="656" s="580" customFormat="1" x14ac:dyDescent="0.25"/>
    <row r="657" s="580" customFormat="1" x14ac:dyDescent="0.25"/>
    <row r="658" s="580" customFormat="1" x14ac:dyDescent="0.25"/>
    <row r="659" s="580" customFormat="1" x14ac:dyDescent="0.25"/>
    <row r="660" s="580" customFormat="1" x14ac:dyDescent="0.25"/>
    <row r="661" s="580" customFormat="1" x14ac:dyDescent="0.25"/>
    <row r="662" s="580" customFormat="1" x14ac:dyDescent="0.25"/>
    <row r="663" s="580" customFormat="1" x14ac:dyDescent="0.25"/>
    <row r="664" s="580" customFormat="1" x14ac:dyDescent="0.25"/>
    <row r="665" s="580" customFormat="1" x14ac:dyDescent="0.25"/>
    <row r="666" s="580" customFormat="1" x14ac:dyDescent="0.25"/>
    <row r="667" s="580" customFormat="1" x14ac:dyDescent="0.25"/>
    <row r="668" s="580" customFormat="1" x14ac:dyDescent="0.25"/>
    <row r="669" s="580" customFormat="1" x14ac:dyDescent="0.25"/>
    <row r="670" s="580" customFormat="1" x14ac:dyDescent="0.25"/>
    <row r="671" s="580" customFormat="1" x14ac:dyDescent="0.25"/>
    <row r="672" s="580" customFormat="1" x14ac:dyDescent="0.25"/>
    <row r="673" s="580" customFormat="1" x14ac:dyDescent="0.25"/>
    <row r="674" s="580" customFormat="1" x14ac:dyDescent="0.25"/>
    <row r="675" s="580" customFormat="1" x14ac:dyDescent="0.25"/>
    <row r="676" s="580" customFormat="1" x14ac:dyDescent="0.25"/>
    <row r="677" s="580" customFormat="1" x14ac:dyDescent="0.25"/>
    <row r="678" s="580" customFormat="1" x14ac:dyDescent="0.25"/>
    <row r="679" s="580" customFormat="1" x14ac:dyDescent="0.25"/>
    <row r="680" s="580" customFormat="1" x14ac:dyDescent="0.25"/>
    <row r="681" s="580" customFormat="1" x14ac:dyDescent="0.25"/>
    <row r="682" s="580" customFormat="1" x14ac:dyDescent="0.25"/>
    <row r="683" s="580" customFormat="1" x14ac:dyDescent="0.25"/>
    <row r="684" s="580" customFormat="1" x14ac:dyDescent="0.25"/>
    <row r="685" s="580" customFormat="1" x14ac:dyDescent="0.25"/>
    <row r="686" s="580" customFormat="1" x14ac:dyDescent="0.25"/>
    <row r="687" s="580" customFormat="1" x14ac:dyDescent="0.25"/>
    <row r="688" s="580" customFormat="1" x14ac:dyDescent="0.25"/>
    <row r="689" s="580" customFormat="1" x14ac:dyDescent="0.25"/>
    <row r="690" s="580" customFormat="1" x14ac:dyDescent="0.25"/>
    <row r="691" s="580" customFormat="1" x14ac:dyDescent="0.25"/>
    <row r="692" s="580" customFormat="1" x14ac:dyDescent="0.25"/>
    <row r="693" s="580" customFormat="1" x14ac:dyDescent="0.25"/>
    <row r="694" s="580" customFormat="1" x14ac:dyDescent="0.25"/>
    <row r="695" s="580" customFormat="1" x14ac:dyDescent="0.25"/>
    <row r="696" s="580" customFormat="1" x14ac:dyDescent="0.25"/>
    <row r="697" s="580" customFormat="1" x14ac:dyDescent="0.25"/>
    <row r="698" s="580" customFormat="1" x14ac:dyDescent="0.25"/>
    <row r="699" s="580" customFormat="1" x14ac:dyDescent="0.25"/>
    <row r="700" s="580" customFormat="1" x14ac:dyDescent="0.25"/>
    <row r="701" s="580" customFormat="1" x14ac:dyDescent="0.25"/>
    <row r="702" s="580" customFormat="1" x14ac:dyDescent="0.25"/>
    <row r="703" s="580" customFormat="1" x14ac:dyDescent="0.25"/>
    <row r="704" s="580" customFormat="1" x14ac:dyDescent="0.25"/>
    <row r="705" s="580" customFormat="1" x14ac:dyDescent="0.25"/>
    <row r="706" s="580" customFormat="1" x14ac:dyDescent="0.25"/>
    <row r="707" s="580" customFormat="1" x14ac:dyDescent="0.25"/>
    <row r="708" s="580" customFormat="1" x14ac:dyDescent="0.25"/>
    <row r="709" s="580" customFormat="1" x14ac:dyDescent="0.25"/>
    <row r="710" s="580" customFormat="1" x14ac:dyDescent="0.25"/>
    <row r="711" s="580" customFormat="1" x14ac:dyDescent="0.25"/>
    <row r="712" s="580" customFormat="1" x14ac:dyDescent="0.25"/>
    <row r="713" s="580" customFormat="1" x14ac:dyDescent="0.25"/>
    <row r="714" s="580" customFormat="1" x14ac:dyDescent="0.25"/>
    <row r="715" s="580" customFormat="1" x14ac:dyDescent="0.25"/>
    <row r="716" s="580" customFormat="1" x14ac:dyDescent="0.25"/>
    <row r="717" s="580" customFormat="1" x14ac:dyDescent="0.25"/>
    <row r="718" s="580" customFormat="1" x14ac:dyDescent="0.25"/>
    <row r="719" s="580" customFormat="1" x14ac:dyDescent="0.25"/>
    <row r="720" s="580" customFormat="1" x14ac:dyDescent="0.25"/>
    <row r="721" s="580" customFormat="1" x14ac:dyDescent="0.25"/>
    <row r="722" s="580" customFormat="1" x14ac:dyDescent="0.25"/>
    <row r="723" s="580" customFormat="1" x14ac:dyDescent="0.25"/>
    <row r="724" s="580" customFormat="1" x14ac:dyDescent="0.25"/>
    <row r="725" s="580" customFormat="1" x14ac:dyDescent="0.25"/>
    <row r="726" s="580" customFormat="1" x14ac:dyDescent="0.25"/>
    <row r="727" s="580" customFormat="1" x14ac:dyDescent="0.25"/>
    <row r="728" s="580" customFormat="1" x14ac:dyDescent="0.25"/>
    <row r="729" s="580" customFormat="1" x14ac:dyDescent="0.25"/>
    <row r="730" s="580" customFormat="1" x14ac:dyDescent="0.25"/>
    <row r="731" s="580" customFormat="1" x14ac:dyDescent="0.25"/>
    <row r="732" s="580" customFormat="1" x14ac:dyDescent="0.25"/>
    <row r="733" s="580" customFormat="1" x14ac:dyDescent="0.25"/>
    <row r="734" s="580" customFormat="1" x14ac:dyDescent="0.25"/>
    <row r="735" s="580" customFormat="1" x14ac:dyDescent="0.25"/>
    <row r="736" s="580" customFormat="1" x14ac:dyDescent="0.25"/>
    <row r="737" s="580" customFormat="1" x14ac:dyDescent="0.25"/>
    <row r="738" s="580" customFormat="1" x14ac:dyDescent="0.25"/>
    <row r="739" s="580" customFormat="1" x14ac:dyDescent="0.25"/>
    <row r="740" s="580" customFormat="1" x14ac:dyDescent="0.25"/>
    <row r="741" s="580" customFormat="1" x14ac:dyDescent="0.25"/>
    <row r="742" s="580" customFormat="1" x14ac:dyDescent="0.25"/>
    <row r="743" s="580" customFormat="1" x14ac:dyDescent="0.25"/>
    <row r="744" s="580" customFormat="1" x14ac:dyDescent="0.25"/>
    <row r="745" s="580" customFormat="1" x14ac:dyDescent="0.25"/>
    <row r="746" s="580" customFormat="1" x14ac:dyDescent="0.25"/>
    <row r="747" s="580" customFormat="1" x14ac:dyDescent="0.25"/>
    <row r="748" s="580" customFormat="1" x14ac:dyDescent="0.25"/>
    <row r="749" s="580" customFormat="1" x14ac:dyDescent="0.25"/>
    <row r="750" s="580" customFormat="1" x14ac:dyDescent="0.25"/>
    <row r="751" s="580" customFormat="1" x14ac:dyDescent="0.25"/>
    <row r="752" s="580" customFormat="1" x14ac:dyDescent="0.25"/>
    <row r="753" s="580" customFormat="1" x14ac:dyDescent="0.25"/>
    <row r="754" s="580" customFormat="1" x14ac:dyDescent="0.25"/>
    <row r="755" s="580" customFormat="1" x14ac:dyDescent="0.25"/>
    <row r="756" s="580" customFormat="1" x14ac:dyDescent="0.25"/>
    <row r="757" s="580" customFormat="1" x14ac:dyDescent="0.25"/>
    <row r="758" s="580" customFormat="1" x14ac:dyDescent="0.25"/>
    <row r="759" s="580" customFormat="1" x14ac:dyDescent="0.25"/>
    <row r="760" s="580" customFormat="1" x14ac:dyDescent="0.25"/>
    <row r="761" s="580" customFormat="1" x14ac:dyDescent="0.25"/>
    <row r="762" s="580" customFormat="1" x14ac:dyDescent="0.25"/>
    <row r="763" s="580" customFormat="1" x14ac:dyDescent="0.25"/>
    <row r="764" s="580" customFormat="1" x14ac:dyDescent="0.25"/>
    <row r="765" s="580" customFormat="1" x14ac:dyDescent="0.25"/>
    <row r="766" s="580" customFormat="1" x14ac:dyDescent="0.25"/>
    <row r="767" s="580" customFormat="1" x14ac:dyDescent="0.25"/>
    <row r="768" s="580" customFormat="1" x14ac:dyDescent="0.25"/>
    <row r="769" s="580" customFormat="1" x14ac:dyDescent="0.25"/>
    <row r="770" s="580" customFormat="1" x14ac:dyDescent="0.25"/>
    <row r="771" s="580" customFormat="1" x14ac:dyDescent="0.25"/>
    <row r="772" s="580" customFormat="1" x14ac:dyDescent="0.25"/>
    <row r="773" s="580" customFormat="1" x14ac:dyDescent="0.25"/>
    <row r="774" s="580" customFormat="1" x14ac:dyDescent="0.25"/>
    <row r="775" s="580" customFormat="1" x14ac:dyDescent="0.25"/>
    <row r="776" s="580" customFormat="1" x14ac:dyDescent="0.25"/>
    <row r="777" s="580" customFormat="1" x14ac:dyDescent="0.25"/>
    <row r="778" s="580" customFormat="1" x14ac:dyDescent="0.25"/>
    <row r="779" s="580" customFormat="1" x14ac:dyDescent="0.25"/>
    <row r="780" s="580" customFormat="1" x14ac:dyDescent="0.25"/>
    <row r="781" s="580" customFormat="1" x14ac:dyDescent="0.25"/>
    <row r="782" s="580" customFormat="1" x14ac:dyDescent="0.25"/>
    <row r="783" s="580" customFormat="1" x14ac:dyDescent="0.25"/>
    <row r="784" s="580" customFormat="1" x14ac:dyDescent="0.25"/>
    <row r="785" s="580" customFormat="1" x14ac:dyDescent="0.25"/>
    <row r="786" s="580" customFormat="1" x14ac:dyDescent="0.25"/>
    <row r="787" s="580" customFormat="1" x14ac:dyDescent="0.25"/>
    <row r="788" s="580" customFormat="1" x14ac:dyDescent="0.25"/>
    <row r="789" s="580" customFormat="1" x14ac:dyDescent="0.25"/>
    <row r="790" s="580" customFormat="1" x14ac:dyDescent="0.25"/>
    <row r="791" s="580" customFormat="1" x14ac:dyDescent="0.25"/>
    <row r="792" s="580" customFormat="1" x14ac:dyDescent="0.25"/>
    <row r="793" s="580" customFormat="1" x14ac:dyDescent="0.25"/>
    <row r="794" s="580" customFormat="1" x14ac:dyDescent="0.25"/>
    <row r="795" s="580" customFormat="1" x14ac:dyDescent="0.25"/>
    <row r="796" s="580" customFormat="1" x14ac:dyDescent="0.25"/>
    <row r="797" s="580" customFormat="1" x14ac:dyDescent="0.25"/>
    <row r="798" s="580" customFormat="1" x14ac:dyDescent="0.25"/>
    <row r="799" s="580" customFormat="1" x14ac:dyDescent="0.25"/>
    <row r="800" s="580" customFormat="1" x14ac:dyDescent="0.25"/>
    <row r="801" s="580" customFormat="1" x14ac:dyDescent="0.25"/>
    <row r="802" s="580" customFormat="1" x14ac:dyDescent="0.25"/>
    <row r="803" s="580" customFormat="1" x14ac:dyDescent="0.25"/>
    <row r="804" s="580" customFormat="1" x14ac:dyDescent="0.25"/>
    <row r="805" s="580" customFormat="1" x14ac:dyDescent="0.25"/>
    <row r="806" s="580" customFormat="1" x14ac:dyDescent="0.25"/>
    <row r="807" s="580" customFormat="1" x14ac:dyDescent="0.25"/>
    <row r="808" s="580" customFormat="1" x14ac:dyDescent="0.25"/>
    <row r="809" s="580" customFormat="1" x14ac:dyDescent="0.25"/>
    <row r="810" s="580" customFormat="1" x14ac:dyDescent="0.25"/>
    <row r="811" s="580" customFormat="1" x14ac:dyDescent="0.25"/>
    <row r="812" s="580" customFormat="1" x14ac:dyDescent="0.25"/>
    <row r="813" s="580" customFormat="1" x14ac:dyDescent="0.25"/>
    <row r="814" s="580" customFormat="1" x14ac:dyDescent="0.25"/>
    <row r="815" s="580" customFormat="1" x14ac:dyDescent="0.25"/>
    <row r="816" s="580" customFormat="1" x14ac:dyDescent="0.25"/>
    <row r="817" s="580" customFormat="1" x14ac:dyDescent="0.25"/>
    <row r="818" s="580" customFormat="1" x14ac:dyDescent="0.25"/>
    <row r="819" s="580" customFormat="1" x14ac:dyDescent="0.25"/>
    <row r="820" s="580" customFormat="1" x14ac:dyDescent="0.25"/>
    <row r="821" s="580" customFormat="1" x14ac:dyDescent="0.25"/>
    <row r="822" s="580" customFormat="1" x14ac:dyDescent="0.25"/>
    <row r="823" s="580" customFormat="1" x14ac:dyDescent="0.25"/>
    <row r="824" s="580" customFormat="1" x14ac:dyDescent="0.25"/>
    <row r="825" s="580" customFormat="1" x14ac:dyDescent="0.25"/>
    <row r="826" s="580" customFormat="1" x14ac:dyDescent="0.25"/>
    <row r="827" s="580" customFormat="1" x14ac:dyDescent="0.25"/>
    <row r="828" s="580" customFormat="1" x14ac:dyDescent="0.25"/>
    <row r="829" s="580" customFormat="1" x14ac:dyDescent="0.25"/>
    <row r="830" s="580" customFormat="1" x14ac:dyDescent="0.25"/>
    <row r="831" s="580" customFormat="1" x14ac:dyDescent="0.25"/>
    <row r="832" s="580" customFormat="1" x14ac:dyDescent="0.25"/>
    <row r="833" s="580" customFormat="1" x14ac:dyDescent="0.25"/>
    <row r="834" s="580" customFormat="1" x14ac:dyDescent="0.25"/>
    <row r="835" s="580" customFormat="1" x14ac:dyDescent="0.25"/>
    <row r="836" s="580" customFormat="1" x14ac:dyDescent="0.25"/>
    <row r="837" s="580" customFormat="1" x14ac:dyDescent="0.25"/>
    <row r="838" s="580" customFormat="1" x14ac:dyDescent="0.25"/>
    <row r="839" s="580" customFormat="1" x14ac:dyDescent="0.25"/>
    <row r="840" s="580" customFormat="1" x14ac:dyDescent="0.25"/>
    <row r="841" s="580" customFormat="1" x14ac:dyDescent="0.25"/>
    <row r="842" s="580" customFormat="1" x14ac:dyDescent="0.25"/>
    <row r="843" s="580" customFormat="1" x14ac:dyDescent="0.25"/>
    <row r="844" s="580" customFormat="1" x14ac:dyDescent="0.25"/>
    <row r="845" s="580" customFormat="1" x14ac:dyDescent="0.25"/>
    <row r="846" s="580" customFormat="1" x14ac:dyDescent="0.25"/>
    <row r="847" s="580" customFormat="1" x14ac:dyDescent="0.25"/>
    <row r="848" s="580" customFormat="1" x14ac:dyDescent="0.25"/>
    <row r="849" s="580" customFormat="1" x14ac:dyDescent="0.25"/>
    <row r="850" s="580" customFormat="1" x14ac:dyDescent="0.25"/>
    <row r="851" s="580" customFormat="1" x14ac:dyDescent="0.25"/>
    <row r="852" s="580" customFormat="1" x14ac:dyDescent="0.25"/>
    <row r="853" s="580" customFormat="1" x14ac:dyDescent="0.25"/>
    <row r="854" s="580" customFormat="1" x14ac:dyDescent="0.25"/>
    <row r="855" s="580" customFormat="1" x14ac:dyDescent="0.25"/>
    <row r="856" s="580" customFormat="1" x14ac:dyDescent="0.25"/>
    <row r="857" s="580" customFormat="1" x14ac:dyDescent="0.25"/>
    <row r="858" s="580" customFormat="1" x14ac:dyDescent="0.25"/>
    <row r="859" s="580" customFormat="1" x14ac:dyDescent="0.25"/>
    <row r="860" s="580" customFormat="1" x14ac:dyDescent="0.25"/>
    <row r="861" s="580" customFormat="1" x14ac:dyDescent="0.25"/>
    <row r="862" s="580" customFormat="1" x14ac:dyDescent="0.25"/>
    <row r="863" s="580" customFormat="1" x14ac:dyDescent="0.25"/>
    <row r="864" s="580" customFormat="1" x14ac:dyDescent="0.25"/>
    <row r="865" s="580" customFormat="1" x14ac:dyDescent="0.25"/>
    <row r="866" s="580" customFormat="1" x14ac:dyDescent="0.25"/>
    <row r="867" s="580" customFormat="1" x14ac:dyDescent="0.25"/>
    <row r="868" s="580" customFormat="1" x14ac:dyDescent="0.25"/>
    <row r="869" s="580" customFormat="1" x14ac:dyDescent="0.25"/>
    <row r="870" s="580" customFormat="1" x14ac:dyDescent="0.25"/>
    <row r="871" s="580" customFormat="1" x14ac:dyDescent="0.25"/>
    <row r="872" s="580" customFormat="1" x14ac:dyDescent="0.25"/>
    <row r="873" s="580" customFormat="1" x14ac:dyDescent="0.25"/>
    <row r="874" s="580" customFormat="1" x14ac:dyDescent="0.25"/>
    <row r="875" s="580" customFormat="1" x14ac:dyDescent="0.25"/>
    <row r="876" s="580" customFormat="1" x14ac:dyDescent="0.25"/>
    <row r="877" s="580" customFormat="1" x14ac:dyDescent="0.25"/>
    <row r="878" s="580" customFormat="1" x14ac:dyDescent="0.25"/>
    <row r="879" s="580" customFormat="1" x14ac:dyDescent="0.25"/>
    <row r="880" s="580" customFormat="1" x14ac:dyDescent="0.25"/>
    <row r="881" s="580" customFormat="1" x14ac:dyDescent="0.25"/>
    <row r="882" s="580" customFormat="1" x14ac:dyDescent="0.25"/>
    <row r="883" s="580" customFormat="1" x14ac:dyDescent="0.25"/>
    <row r="884" s="580" customFormat="1" x14ac:dyDescent="0.25"/>
    <row r="885" s="580" customFormat="1" x14ac:dyDescent="0.25"/>
    <row r="886" s="580" customFormat="1" x14ac:dyDescent="0.25"/>
    <row r="887" s="580" customFormat="1" x14ac:dyDescent="0.25"/>
    <row r="888" s="580" customFormat="1" x14ac:dyDescent="0.25"/>
    <row r="889" s="580" customFormat="1" x14ac:dyDescent="0.25"/>
    <row r="890" s="580" customFormat="1" x14ac:dyDescent="0.25"/>
    <row r="891" s="580" customFormat="1" x14ac:dyDescent="0.25"/>
    <row r="892" s="580" customFormat="1" x14ac:dyDescent="0.25"/>
    <row r="893" s="580" customFormat="1" x14ac:dyDescent="0.25"/>
    <row r="894" s="580" customFormat="1" x14ac:dyDescent="0.25"/>
    <row r="895" s="580" customFormat="1" x14ac:dyDescent="0.25"/>
    <row r="896" s="580" customFormat="1" x14ac:dyDescent="0.25"/>
    <row r="897" s="580" customFormat="1" x14ac:dyDescent="0.25"/>
    <row r="898" s="580" customFormat="1" x14ac:dyDescent="0.25"/>
    <row r="899" s="580" customFormat="1" x14ac:dyDescent="0.25"/>
    <row r="900" s="580" customFormat="1" x14ac:dyDescent="0.25"/>
    <row r="901" s="580" customFormat="1" x14ac:dyDescent="0.25"/>
    <row r="902" s="580" customFormat="1" x14ac:dyDescent="0.25"/>
    <row r="903" s="580" customFormat="1" x14ac:dyDescent="0.25"/>
    <row r="904" s="580" customFormat="1" x14ac:dyDescent="0.25"/>
    <row r="905" s="580" customFormat="1" x14ac:dyDescent="0.25"/>
    <row r="906" s="580" customFormat="1" x14ac:dyDescent="0.25"/>
    <row r="907" s="580" customFormat="1" x14ac:dyDescent="0.25"/>
    <row r="908" s="580" customFormat="1" x14ac:dyDescent="0.25"/>
    <row r="909" s="580" customFormat="1" x14ac:dyDescent="0.25"/>
    <row r="910" s="580" customFormat="1" x14ac:dyDescent="0.25"/>
    <row r="911" s="580" customFormat="1" x14ac:dyDescent="0.25"/>
    <row r="912" s="580" customFormat="1" x14ac:dyDescent="0.25"/>
    <row r="913" s="580" customFormat="1" x14ac:dyDescent="0.25"/>
    <row r="914" s="580" customFormat="1" x14ac:dyDescent="0.25"/>
    <row r="915" s="580" customFormat="1" x14ac:dyDescent="0.25"/>
    <row r="916" s="580" customFormat="1" x14ac:dyDescent="0.25"/>
    <row r="917" s="580" customFormat="1" x14ac:dyDescent="0.25"/>
    <row r="918" s="580" customFormat="1" x14ac:dyDescent="0.25"/>
    <row r="919" s="580" customFormat="1" x14ac:dyDescent="0.25"/>
    <row r="920" s="580" customFormat="1" x14ac:dyDescent="0.25"/>
    <row r="921" s="580" customFormat="1" x14ac:dyDescent="0.25"/>
    <row r="922" s="580" customFormat="1" x14ac:dyDescent="0.25"/>
    <row r="923" s="580" customFormat="1" x14ac:dyDescent="0.25"/>
    <row r="924" s="580" customFormat="1" x14ac:dyDescent="0.25"/>
    <row r="925" s="580" customFormat="1" x14ac:dyDescent="0.25"/>
    <row r="926" s="580" customFormat="1" x14ac:dyDescent="0.25"/>
    <row r="927" s="580" customFormat="1" x14ac:dyDescent="0.25"/>
    <row r="928" s="580" customFormat="1" x14ac:dyDescent="0.25"/>
    <row r="929" s="580" customFormat="1" x14ac:dyDescent="0.25"/>
    <row r="930" s="580" customFormat="1" x14ac:dyDescent="0.25"/>
    <row r="931" s="580" customFormat="1" x14ac:dyDescent="0.25"/>
    <row r="932" s="580" customFormat="1" x14ac:dyDescent="0.25"/>
    <row r="933" s="580" customFormat="1" x14ac:dyDescent="0.25"/>
    <row r="934" s="580" customFormat="1" x14ac:dyDescent="0.25"/>
    <row r="935" s="580" customFormat="1" x14ac:dyDescent="0.25"/>
    <row r="936" s="580" customFormat="1" x14ac:dyDescent="0.25"/>
    <row r="937" s="580" customFormat="1" x14ac:dyDescent="0.25"/>
    <row r="938" s="580" customFormat="1" x14ac:dyDescent="0.25"/>
    <row r="939" s="580" customFormat="1" x14ac:dyDescent="0.25"/>
    <row r="940" s="580" customFormat="1" x14ac:dyDescent="0.25"/>
    <row r="941" s="580" customFormat="1" x14ac:dyDescent="0.25"/>
    <row r="942" s="580" customFormat="1" x14ac:dyDescent="0.25"/>
    <row r="943" s="580" customFormat="1" x14ac:dyDescent="0.25"/>
    <row r="944" s="580" customFormat="1" x14ac:dyDescent="0.25"/>
    <row r="945" s="580" customFormat="1" x14ac:dyDescent="0.25"/>
    <row r="946" s="580" customFormat="1" x14ac:dyDescent="0.25"/>
    <row r="947" s="580" customFormat="1" x14ac:dyDescent="0.25"/>
    <row r="948" s="580" customFormat="1" x14ac:dyDescent="0.25"/>
    <row r="949" s="580" customFormat="1" x14ac:dyDescent="0.25"/>
    <row r="950" s="580" customFormat="1" x14ac:dyDescent="0.25"/>
    <row r="951" s="580" customFormat="1" x14ac:dyDescent="0.25"/>
    <row r="952" s="580" customFormat="1" x14ac:dyDescent="0.25"/>
    <row r="953" s="580" customFormat="1" x14ac:dyDescent="0.25"/>
    <row r="954" s="580" customFormat="1" x14ac:dyDescent="0.25"/>
    <row r="955" s="580" customFormat="1" x14ac:dyDescent="0.25"/>
    <row r="956" s="580" customFormat="1" x14ac:dyDescent="0.25"/>
    <row r="957" s="580" customFormat="1" x14ac:dyDescent="0.25"/>
    <row r="958" s="580" customFormat="1" x14ac:dyDescent="0.25"/>
    <row r="959" s="580" customFormat="1" x14ac:dyDescent="0.25"/>
    <row r="960" s="580" customFormat="1" x14ac:dyDescent="0.25"/>
    <row r="961" s="580" customFormat="1" x14ac:dyDescent="0.25"/>
    <row r="962" s="580" customFormat="1" x14ac:dyDescent="0.25"/>
    <row r="963" s="580" customFormat="1" x14ac:dyDescent="0.25"/>
    <row r="964" s="580" customFormat="1" x14ac:dyDescent="0.25"/>
    <row r="965" s="580" customFormat="1" x14ac:dyDescent="0.25"/>
    <row r="966" s="580" customFormat="1" x14ac:dyDescent="0.25"/>
    <row r="967" s="580" customFormat="1" x14ac:dyDescent="0.25"/>
    <row r="968" s="580" customFormat="1" x14ac:dyDescent="0.25"/>
    <row r="969" s="580" customFormat="1" x14ac:dyDescent="0.25"/>
    <row r="970" s="580" customFormat="1" x14ac:dyDescent="0.25"/>
    <row r="971" s="580" customFormat="1" x14ac:dyDescent="0.25"/>
    <row r="972" s="580" customFormat="1" x14ac:dyDescent="0.25"/>
    <row r="973" s="580" customFormat="1" x14ac:dyDescent="0.25"/>
    <row r="974" s="580" customFormat="1" x14ac:dyDescent="0.25"/>
    <row r="975" s="580" customFormat="1" x14ac:dyDescent="0.25"/>
    <row r="976" s="580" customFormat="1" x14ac:dyDescent="0.25"/>
    <row r="977" s="580" customFormat="1" x14ac:dyDescent="0.25"/>
    <row r="978" s="580" customFormat="1" x14ac:dyDescent="0.25"/>
    <row r="979" s="580" customFormat="1" x14ac:dyDescent="0.25"/>
    <row r="980" s="580" customFormat="1" x14ac:dyDescent="0.25"/>
    <row r="981" s="580" customFormat="1" x14ac:dyDescent="0.25"/>
    <row r="982" s="580" customFormat="1" x14ac:dyDescent="0.25"/>
    <row r="983" s="580" customFormat="1" x14ac:dyDescent="0.25"/>
    <row r="984" s="580" customFormat="1" x14ac:dyDescent="0.25"/>
    <row r="985" s="580" customFormat="1" x14ac:dyDescent="0.25"/>
    <row r="986" s="580" customFormat="1" x14ac:dyDescent="0.25"/>
    <row r="987" s="580" customFormat="1" x14ac:dyDescent="0.25"/>
    <row r="988" s="580" customFormat="1" x14ac:dyDescent="0.25"/>
    <row r="989" s="580" customFormat="1" x14ac:dyDescent="0.25"/>
    <row r="990" s="580" customFormat="1" x14ac:dyDescent="0.25"/>
    <row r="991" s="580" customFormat="1" x14ac:dyDescent="0.25"/>
    <row r="992" s="580" customFormat="1" x14ac:dyDescent="0.25"/>
    <row r="993" s="580" customFormat="1" x14ac:dyDescent="0.25"/>
    <row r="994" s="580" customFormat="1" x14ac:dyDescent="0.25"/>
    <row r="995" s="580" customFormat="1" x14ac:dyDescent="0.25"/>
    <row r="996" s="580" customFormat="1" x14ac:dyDescent="0.25"/>
    <row r="997" s="580" customFormat="1" x14ac:dyDescent="0.25"/>
    <row r="998" s="580" customFormat="1" x14ac:dyDescent="0.25"/>
    <row r="999" s="580" customFormat="1" x14ac:dyDescent="0.25"/>
    <row r="1000" s="580" customFormat="1" x14ac:dyDescent="0.25"/>
    <row r="1001" s="580" customFormat="1" x14ac:dyDescent="0.25"/>
    <row r="1002" s="580" customFormat="1" x14ac:dyDescent="0.25"/>
    <row r="1003" s="580" customFormat="1" x14ac:dyDescent="0.25"/>
    <row r="1004" s="580" customFormat="1" x14ac:dyDescent="0.25"/>
    <row r="1005" s="580" customFormat="1" x14ac:dyDescent="0.25"/>
    <row r="1006" s="580" customFormat="1" x14ac:dyDescent="0.25"/>
    <row r="1007" s="580" customFormat="1" x14ac:dyDescent="0.25"/>
    <row r="1008" s="580" customFormat="1" x14ac:dyDescent="0.25"/>
    <row r="1009" s="580" customFormat="1" x14ac:dyDescent="0.25"/>
    <row r="1010" s="580" customFormat="1" x14ac:dyDescent="0.25"/>
    <row r="1011" s="580" customFormat="1" x14ac:dyDescent="0.25"/>
    <row r="1012" s="580" customFormat="1" x14ac:dyDescent="0.25"/>
    <row r="1013" s="580" customFormat="1" x14ac:dyDescent="0.25"/>
    <row r="1014" s="580" customFormat="1" x14ac:dyDescent="0.25"/>
    <row r="1015" s="580" customFormat="1" x14ac:dyDescent="0.25"/>
    <row r="1016" s="580" customFormat="1" x14ac:dyDescent="0.25"/>
    <row r="1017" s="580" customFormat="1" x14ac:dyDescent="0.25"/>
    <row r="1018" s="580" customFormat="1" x14ac:dyDescent="0.25"/>
    <row r="1019" s="580" customFormat="1" x14ac:dyDescent="0.25"/>
    <row r="1020" s="580" customFormat="1" x14ac:dyDescent="0.25"/>
    <row r="1021" s="580" customFormat="1" x14ac:dyDescent="0.25"/>
    <row r="1022" s="580" customFormat="1" x14ac:dyDescent="0.25"/>
    <row r="1023" s="580" customFormat="1" x14ac:dyDescent="0.25"/>
    <row r="1024" s="580" customFormat="1" x14ac:dyDescent="0.25"/>
    <row r="1025" s="580" customFormat="1" x14ac:dyDescent="0.25"/>
    <row r="1026" s="580" customFormat="1" x14ac:dyDescent="0.25"/>
    <row r="1027" s="580" customFormat="1" x14ac:dyDescent="0.25"/>
    <row r="1028" s="580" customFormat="1" x14ac:dyDescent="0.25"/>
    <row r="1029" s="580" customFormat="1" x14ac:dyDescent="0.25"/>
    <row r="1030" s="580" customFormat="1" x14ac:dyDescent="0.25"/>
    <row r="1031" s="580" customFormat="1" x14ac:dyDescent="0.25"/>
    <row r="1032" s="580" customFormat="1" x14ac:dyDescent="0.25"/>
    <row r="1033" s="580" customFormat="1" x14ac:dyDescent="0.25"/>
    <row r="1034" s="580" customFormat="1" x14ac:dyDescent="0.25"/>
    <row r="1035" s="580" customFormat="1" x14ac:dyDescent="0.25"/>
    <row r="1036" s="580" customFormat="1" x14ac:dyDescent="0.25"/>
    <row r="1037" s="580" customFormat="1" x14ac:dyDescent="0.25"/>
    <row r="1038" s="580" customFormat="1" x14ac:dyDescent="0.25"/>
    <row r="1039" s="580" customFormat="1" x14ac:dyDescent="0.25"/>
    <row r="1040" s="580" customFormat="1" x14ac:dyDescent="0.25"/>
    <row r="1041" s="580" customFormat="1" x14ac:dyDescent="0.25"/>
    <row r="1042" s="580" customFormat="1" x14ac:dyDescent="0.25"/>
    <row r="1043" s="580" customFormat="1" x14ac:dyDescent="0.25"/>
    <row r="1044" s="580" customFormat="1" x14ac:dyDescent="0.25"/>
    <row r="1045" s="580" customFormat="1" x14ac:dyDescent="0.25"/>
    <row r="1046" s="580" customFormat="1" x14ac:dyDescent="0.25"/>
    <row r="1047" s="580" customFormat="1" x14ac:dyDescent="0.25"/>
    <row r="1048" s="580" customFormat="1" x14ac:dyDescent="0.25"/>
    <row r="1049" s="580" customFormat="1" x14ac:dyDescent="0.25"/>
    <row r="1050" s="580" customFormat="1" x14ac:dyDescent="0.25"/>
    <row r="1051" s="580" customFormat="1" x14ac:dyDescent="0.25"/>
    <row r="1052" s="580" customFormat="1" x14ac:dyDescent="0.25"/>
    <row r="1053" s="580" customFormat="1" x14ac:dyDescent="0.25"/>
    <row r="1054" s="580" customFormat="1" x14ac:dyDescent="0.25"/>
    <row r="1055" s="580" customFormat="1" x14ac:dyDescent="0.25"/>
    <row r="1056" s="580" customFormat="1" x14ac:dyDescent="0.25"/>
    <row r="1057" s="580" customFormat="1" x14ac:dyDescent="0.25"/>
    <row r="1058" s="580" customFormat="1" x14ac:dyDescent="0.25"/>
    <row r="1059" s="580" customFormat="1" x14ac:dyDescent="0.25"/>
    <row r="1060" s="580" customFormat="1" x14ac:dyDescent="0.25"/>
    <row r="1061" s="580" customFormat="1" x14ac:dyDescent="0.25"/>
    <row r="1062" s="580" customFormat="1" x14ac:dyDescent="0.25"/>
    <row r="1063" s="580" customFormat="1" x14ac:dyDescent="0.25"/>
    <row r="1064" s="580" customFormat="1" x14ac:dyDescent="0.25"/>
    <row r="1065" s="580" customFormat="1" x14ac:dyDescent="0.25"/>
    <row r="1066" s="580" customFormat="1" x14ac:dyDescent="0.25"/>
    <row r="1067" s="580" customFormat="1" x14ac:dyDescent="0.25"/>
    <row r="1068" s="580" customFormat="1" x14ac:dyDescent="0.25"/>
    <row r="1069" s="580" customFormat="1" x14ac:dyDescent="0.25"/>
    <row r="1070" s="580" customFormat="1" x14ac:dyDescent="0.25"/>
    <row r="1071" s="580" customFormat="1" x14ac:dyDescent="0.25"/>
    <row r="1072" s="580" customFormat="1" x14ac:dyDescent="0.25"/>
  </sheetData>
  <mergeCells count="14">
    <mergeCell ref="H22:H23"/>
    <mergeCell ref="E22:E23"/>
    <mergeCell ref="E9:E10"/>
    <mergeCell ref="H9:H10"/>
    <mergeCell ref="B8:D9"/>
    <mergeCell ref="B1:K1"/>
    <mergeCell ref="B6:J6"/>
    <mergeCell ref="E20:E21"/>
    <mergeCell ref="F9:F10"/>
    <mergeCell ref="H20:H21"/>
    <mergeCell ref="I9:I10"/>
    <mergeCell ref="B16:J17"/>
    <mergeCell ref="B2:J2"/>
    <mergeCell ref="B5:J5"/>
  </mergeCells>
  <pageMargins left="0.70866141732283472" right="0.70866141732283472" top="0.74803149606299213" bottom="0.74803149606299213" header="0.31496062992125984" footer="0.31496062992125984"/>
  <pageSetup paperSize="9" scale="85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AH34"/>
  <sheetViews>
    <sheetView showGridLines="0" showRowColHeaders="0" zoomScale="83" zoomScaleNormal="83" workbookViewId="0"/>
  </sheetViews>
  <sheetFormatPr defaultColWidth="11.42578125" defaultRowHeight="15" x14ac:dyDescent="0.25"/>
  <cols>
    <col min="1" max="1" width="4.140625" customWidth="1"/>
    <col min="2" max="2" width="8.28515625" customWidth="1"/>
    <col min="3" max="3" width="22.7109375" customWidth="1"/>
    <col min="4" max="10" width="8.7109375" customWidth="1"/>
    <col min="11" max="11" width="3.5703125" customWidth="1"/>
    <col min="12" max="12" width="4.28515625" customWidth="1"/>
    <col min="13" max="13" width="8.85546875" customWidth="1"/>
    <col min="14" max="14" width="8.42578125" customWidth="1"/>
    <col min="15" max="15" width="3.7109375" customWidth="1"/>
    <col min="16" max="16" width="7.28515625" customWidth="1"/>
    <col min="17" max="17" width="10.7109375" customWidth="1"/>
    <col min="18" max="18" width="10.28515625" customWidth="1"/>
    <col min="19" max="19" width="2.85546875" customWidth="1"/>
  </cols>
  <sheetData>
    <row r="1" spans="1:34" ht="59.25" customHeight="1" thickBot="1" x14ac:dyDescent="0.3">
      <c r="A1" s="48"/>
      <c r="B1" s="1107" t="s">
        <v>1275</v>
      </c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1107"/>
      <c r="Q1" s="1107"/>
      <c r="R1" s="1107"/>
      <c r="S1" s="497"/>
    </row>
    <row r="2" spans="1:34" ht="28.5" customHeight="1" thickBot="1" x14ac:dyDescent="0.3">
      <c r="A2" s="48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8"/>
      <c r="S2" s="497"/>
    </row>
    <row r="3" spans="1:34" s="216" customFormat="1" ht="15" customHeight="1" x14ac:dyDescent="0.25">
      <c r="A3" s="126"/>
      <c r="B3" s="265"/>
      <c r="C3" s="265"/>
      <c r="D3" s="265"/>
      <c r="E3" s="265"/>
      <c r="F3" s="283"/>
      <c r="G3" s="283"/>
      <c r="H3" s="283"/>
      <c r="I3" s="283"/>
      <c r="J3" s="283"/>
      <c r="K3" s="126"/>
      <c r="L3" s="497"/>
      <c r="M3" s="497"/>
      <c r="N3" s="497"/>
      <c r="O3" s="497"/>
      <c r="P3" s="497"/>
      <c r="Q3" s="497"/>
      <c r="R3" s="497"/>
      <c r="S3" s="497"/>
    </row>
    <row r="4" spans="1:34" s="122" customFormat="1" ht="27.75" x14ac:dyDescent="0.25">
      <c r="A4" s="126"/>
      <c r="B4" s="31"/>
      <c r="C4" s="30"/>
      <c r="D4" s="30"/>
      <c r="E4" s="30"/>
      <c r="F4" s="1086" t="s">
        <v>759</v>
      </c>
      <c r="G4" s="1086"/>
      <c r="H4" s="1086"/>
      <c r="I4" s="1086"/>
      <c r="J4" s="1086"/>
      <c r="K4" s="1086"/>
      <c r="L4" s="1086"/>
      <c r="M4" s="1086"/>
      <c r="N4" s="1086"/>
      <c r="O4" s="1086"/>
      <c r="P4" s="1086"/>
      <c r="Q4" s="1086"/>
      <c r="R4" s="1087"/>
      <c r="S4" s="526"/>
    </row>
    <row r="5" spans="1:34" ht="15" customHeight="1" thickBot="1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526"/>
      <c r="L5" s="526"/>
      <c r="M5" s="497"/>
      <c r="N5" s="497"/>
      <c r="O5" s="497"/>
      <c r="P5" s="497"/>
      <c r="Q5" s="497"/>
      <c r="R5" s="526"/>
      <c r="S5" s="526"/>
      <c r="T5" s="823"/>
      <c r="U5" s="823"/>
      <c r="V5" s="823"/>
      <c r="W5" s="823"/>
      <c r="X5" s="823"/>
      <c r="Y5" s="823"/>
      <c r="Z5" s="823"/>
      <c r="AA5" s="823"/>
      <c r="AB5" s="823"/>
      <c r="AC5" s="823"/>
      <c r="AD5" s="823"/>
      <c r="AE5" s="823"/>
      <c r="AF5" s="823"/>
      <c r="AG5" s="823"/>
      <c r="AH5" s="823"/>
    </row>
    <row r="6" spans="1:34" ht="25.5" customHeight="1" x14ac:dyDescent="0.4">
      <c r="A6" s="48"/>
      <c r="B6" s="1279" t="s">
        <v>1</v>
      </c>
      <c r="C6" s="1275"/>
      <c r="D6" s="1275"/>
      <c r="E6" s="1275" t="s">
        <v>81</v>
      </c>
      <c r="F6" s="1275"/>
      <c r="G6" s="1275"/>
      <c r="H6" s="1275"/>
      <c r="I6" s="1275"/>
      <c r="J6" s="1276"/>
      <c r="K6" s="500"/>
      <c r="L6" s="1288" t="s">
        <v>1207</v>
      </c>
      <c r="M6" s="1289"/>
      <c r="N6" s="1289"/>
      <c r="O6" s="1289"/>
      <c r="P6" s="1289"/>
      <c r="Q6" s="1289"/>
      <c r="R6" s="1290"/>
      <c r="S6" s="527"/>
      <c r="T6" s="847" t="s">
        <v>0</v>
      </c>
      <c r="U6" s="847" t="s">
        <v>82</v>
      </c>
      <c r="V6" s="847" t="s">
        <v>83</v>
      </c>
      <c r="W6" s="848" t="s">
        <v>3</v>
      </c>
      <c r="X6" s="848" t="s">
        <v>4</v>
      </c>
      <c r="Y6" s="823"/>
      <c r="Z6" s="823"/>
      <c r="AA6" s="823"/>
      <c r="AB6" s="823"/>
      <c r="AC6" s="823"/>
      <c r="AD6" s="823"/>
      <c r="AE6" s="823"/>
      <c r="AF6" s="823"/>
      <c r="AG6" s="823"/>
      <c r="AH6" s="823"/>
    </row>
    <row r="7" spans="1:34" ht="30" customHeight="1" x14ac:dyDescent="0.25">
      <c r="A7" s="48"/>
      <c r="B7" s="1280"/>
      <c r="C7" s="1281"/>
      <c r="D7" s="1281"/>
      <c r="E7" s="155" t="s">
        <v>2</v>
      </c>
      <c r="F7" s="155" t="s">
        <v>0</v>
      </c>
      <c r="G7" s="155" t="s">
        <v>82</v>
      </c>
      <c r="H7" s="155" t="s">
        <v>83</v>
      </c>
      <c r="I7" s="155" t="s">
        <v>49</v>
      </c>
      <c r="J7" s="127" t="s">
        <v>50</v>
      </c>
      <c r="K7" s="500"/>
      <c r="L7" s="1291" t="s">
        <v>1208</v>
      </c>
      <c r="M7" s="1292"/>
      <c r="N7" s="1292"/>
      <c r="O7" s="1292"/>
      <c r="P7" s="1292"/>
      <c r="Q7" s="1292"/>
      <c r="R7" s="1293"/>
      <c r="S7" s="527"/>
      <c r="T7" s="834" t="e">
        <f>F29/F8</f>
        <v>#VALUE!</v>
      </c>
      <c r="U7" s="834" t="e">
        <f>G29/G8</f>
        <v>#VALUE!</v>
      </c>
      <c r="V7" s="834" t="e">
        <f>H29/H8</f>
        <v>#VALUE!</v>
      </c>
      <c r="W7" s="834" t="e">
        <f>I29/I8</f>
        <v>#VALUE!</v>
      </c>
      <c r="X7" s="849" t="e">
        <f>J29/J8</f>
        <v>#VALUE!</v>
      </c>
      <c r="Y7" s="823"/>
      <c r="Z7" s="823"/>
      <c r="AA7" s="823"/>
      <c r="AB7" s="823"/>
      <c r="AC7" s="823"/>
      <c r="AD7" s="823"/>
      <c r="AE7" s="823"/>
      <c r="AF7" s="823"/>
      <c r="AG7" s="823"/>
      <c r="AH7" s="823"/>
    </row>
    <row r="8" spans="1:34" ht="40.5" customHeight="1" thickBot="1" x14ac:dyDescent="0.3">
      <c r="A8" s="48"/>
      <c r="B8" s="1272" t="str">
        <f>IF(ANIMAL!E11="","",ANIMAL!E11)</f>
        <v>Brebis  70 kg   Gestante    Double      Semaines - 3 à - 4</v>
      </c>
      <c r="C8" s="1273"/>
      <c r="D8" s="1274"/>
      <c r="E8" s="214">
        <f>IF($B$8="","",ANIMAL!E16)</f>
        <v>1.71</v>
      </c>
      <c r="F8" s="214">
        <f>IF($B$8="","",ANIMAL!F16)</f>
        <v>1.1399999999999999</v>
      </c>
      <c r="G8" s="401">
        <f>IF($B$8="","",ANIMAL!G16)</f>
        <v>146</v>
      </c>
      <c r="H8" s="401">
        <f>IF($B$8="","",ANIMAL!G16)</f>
        <v>146</v>
      </c>
      <c r="I8" s="215">
        <f>IF($B$8="","",ANIMAL!H16)</f>
        <v>3.2</v>
      </c>
      <c r="J8" s="213">
        <f>IF($B$8="","",ANIMAL!I16)</f>
        <v>3.5</v>
      </c>
      <c r="K8" s="500"/>
      <c r="L8" s="497"/>
      <c r="M8" s="497"/>
      <c r="N8" s="497"/>
      <c r="O8" s="497"/>
      <c r="P8" s="497"/>
      <c r="Q8" s="497"/>
      <c r="R8" s="497"/>
      <c r="S8" s="527"/>
      <c r="T8" s="834">
        <v>1</v>
      </c>
      <c r="U8" s="834">
        <v>1</v>
      </c>
      <c r="V8" s="834">
        <v>1</v>
      </c>
      <c r="W8" s="834">
        <v>1</v>
      </c>
      <c r="X8" s="834">
        <v>1</v>
      </c>
      <c r="Y8" s="823"/>
      <c r="Z8" s="823"/>
      <c r="AA8" s="823"/>
      <c r="AB8" s="823"/>
      <c r="AC8" s="823"/>
      <c r="AD8" s="823"/>
      <c r="AE8" s="823"/>
      <c r="AF8" s="823"/>
      <c r="AG8" s="823"/>
      <c r="AH8" s="823"/>
    </row>
    <row r="9" spans="1:34" ht="15" customHeight="1" thickBot="1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500"/>
      <c r="L9" s="497"/>
      <c r="M9" s="497"/>
      <c r="N9" s="497"/>
      <c r="O9" s="497"/>
      <c r="P9" s="497"/>
      <c r="Q9" s="497"/>
      <c r="R9" s="497"/>
      <c r="S9" s="527"/>
      <c r="T9" s="846"/>
      <c r="U9" s="823"/>
      <c r="V9" s="823"/>
      <c r="W9" s="823"/>
      <c r="X9" s="823"/>
      <c r="Y9" s="823"/>
      <c r="Z9" s="823"/>
      <c r="AA9" s="823"/>
      <c r="AB9" s="823"/>
      <c r="AC9" s="823"/>
      <c r="AD9" s="823"/>
      <c r="AE9" s="823"/>
      <c r="AF9" s="823"/>
      <c r="AG9" s="823"/>
      <c r="AH9" s="823"/>
    </row>
    <row r="10" spans="1:34" ht="25.5" customHeight="1" x14ac:dyDescent="0.25">
      <c r="A10" s="48"/>
      <c r="B10" s="1277" t="s">
        <v>84</v>
      </c>
      <c r="C10" s="1282" t="s">
        <v>85</v>
      </c>
      <c r="D10" s="1275" t="s">
        <v>86</v>
      </c>
      <c r="E10" s="1275"/>
      <c r="F10" s="1275"/>
      <c r="G10" s="1275"/>
      <c r="H10" s="1275"/>
      <c r="I10" s="1275"/>
      <c r="J10" s="1276"/>
      <c r="K10" s="500"/>
      <c r="L10" s="497"/>
      <c r="M10" s="497"/>
      <c r="N10" s="497"/>
      <c r="O10" s="497"/>
      <c r="P10" s="497"/>
      <c r="Q10" s="497"/>
      <c r="R10" s="497"/>
      <c r="S10" s="527"/>
      <c r="T10" s="823"/>
      <c r="U10" s="823"/>
      <c r="V10" s="823"/>
      <c r="W10" s="823"/>
      <c r="X10" s="823"/>
      <c r="Y10" s="823"/>
      <c r="Z10" s="823"/>
      <c r="AA10" s="823"/>
      <c r="AB10" s="823"/>
      <c r="AC10" s="823"/>
      <c r="AD10" s="823"/>
      <c r="AE10" s="823"/>
      <c r="AF10" s="823"/>
      <c r="AG10" s="823"/>
      <c r="AH10" s="823"/>
    </row>
    <row r="11" spans="1:34" ht="30" customHeight="1" x14ac:dyDescent="0.25">
      <c r="A11" s="48"/>
      <c r="B11" s="1278"/>
      <c r="C11" s="1283"/>
      <c r="D11" s="377" t="s">
        <v>87</v>
      </c>
      <c r="E11" s="377" t="s">
        <v>2</v>
      </c>
      <c r="F11" s="377" t="s">
        <v>0</v>
      </c>
      <c r="G11" s="377" t="s">
        <v>82</v>
      </c>
      <c r="H11" s="377" t="s">
        <v>83</v>
      </c>
      <c r="I11" s="377" t="s">
        <v>49</v>
      </c>
      <c r="J11" s="372" t="s">
        <v>50</v>
      </c>
      <c r="K11" s="497"/>
      <c r="L11" s="527"/>
      <c r="M11" s="497"/>
      <c r="N11" s="497"/>
      <c r="O11" s="497"/>
      <c r="P11" s="497"/>
      <c r="Q11" s="497"/>
      <c r="R11" s="497"/>
      <c r="S11" s="527"/>
      <c r="T11" s="823"/>
      <c r="U11" s="823"/>
      <c r="V11" s="823"/>
      <c r="W11" s="823"/>
      <c r="X11" s="823"/>
      <c r="Y11" s="823"/>
      <c r="Z11" s="823"/>
      <c r="AA11" s="823"/>
      <c r="AB11" s="823"/>
      <c r="AC11" s="823"/>
      <c r="AD11" s="823"/>
      <c r="AE11" s="823"/>
      <c r="AF11" s="823"/>
      <c r="AG11" s="823"/>
      <c r="AH11" s="823"/>
    </row>
    <row r="12" spans="1:34" s="308" customFormat="1" ht="20.25" customHeight="1" x14ac:dyDescent="0.35">
      <c r="A12" s="311"/>
      <c r="B12" s="1243" t="str">
        <f>IF(FOURRAGE!L10="","",FOURRAGE!L10)</f>
        <v/>
      </c>
      <c r="C12" s="1268" t="str">
        <f>FOURRAGE!E9</f>
        <v xml:space="preserve">          </v>
      </c>
      <c r="D12" s="373" t="str">
        <f>FOURRAGE!E15</f>
        <v/>
      </c>
      <c r="E12" s="373" t="str">
        <f>FOURRAGE!F15</f>
        <v/>
      </c>
      <c r="F12" s="373" t="str">
        <f>FOURRAGE!G15</f>
        <v/>
      </c>
      <c r="G12" s="368" t="str">
        <f>FOURRAGE!H15</f>
        <v/>
      </c>
      <c r="H12" s="368" t="str">
        <f>FOURRAGE!I15</f>
        <v/>
      </c>
      <c r="I12" s="374" t="str">
        <f>FOURRAGE!J15</f>
        <v/>
      </c>
      <c r="J12" s="375" t="str">
        <f>FOURRAGE!L15</f>
        <v/>
      </c>
      <c r="K12" s="311"/>
      <c r="L12" s="966"/>
      <c r="M12" s="975"/>
      <c r="N12" s="975"/>
      <c r="O12" s="967"/>
      <c r="P12" s="975"/>
      <c r="Q12" s="975"/>
      <c r="R12" s="976"/>
      <c r="S12" s="497"/>
      <c r="T12" s="823"/>
      <c r="U12" s="823"/>
      <c r="V12" s="823"/>
      <c r="W12" s="823"/>
      <c r="X12" s="823"/>
      <c r="Y12" s="823"/>
      <c r="Z12" s="823"/>
      <c r="AA12" s="823"/>
      <c r="AB12" s="823"/>
      <c r="AC12" s="823"/>
      <c r="AD12" s="823"/>
      <c r="AE12" s="823"/>
      <c r="AF12" s="823"/>
      <c r="AG12" s="823"/>
      <c r="AH12" s="823"/>
    </row>
    <row r="13" spans="1:34" s="308" customFormat="1" ht="30" customHeight="1" x14ac:dyDescent="0.25">
      <c r="A13" s="311"/>
      <c r="B13" s="1243"/>
      <c r="C13" s="1268"/>
      <c r="D13" s="629" t="str">
        <f>IF(B12="","",B12*(D12/100))</f>
        <v/>
      </c>
      <c r="E13" s="49" t="str">
        <f t="shared" ref="E13:J13" si="0">IF($D$13="","",$D$13*E12)</f>
        <v/>
      </c>
      <c r="F13" s="49" t="str">
        <f t="shared" si="0"/>
        <v/>
      </c>
      <c r="G13" s="232" t="str">
        <f t="shared" si="0"/>
        <v/>
      </c>
      <c r="H13" s="232" t="str">
        <f t="shared" si="0"/>
        <v/>
      </c>
      <c r="I13" s="49" t="str">
        <f t="shared" si="0"/>
        <v/>
      </c>
      <c r="J13" s="50" t="str">
        <f t="shared" si="0"/>
        <v/>
      </c>
      <c r="K13" s="311"/>
      <c r="L13" s="977"/>
      <c r="M13" s="978" t="e">
        <f>F29/F8</f>
        <v>#VALUE!</v>
      </c>
      <c r="N13" s="979" t="e">
        <f>G29/G8</f>
        <v>#VALUE!</v>
      </c>
      <c r="O13" s="980"/>
      <c r="P13" s="978" t="e">
        <f>H29/H8</f>
        <v>#VALUE!</v>
      </c>
      <c r="Q13" s="979" t="e">
        <f>I29/I8</f>
        <v>#VALUE!</v>
      </c>
      <c r="R13" s="981" t="e">
        <f>J29/J8</f>
        <v>#VALUE!</v>
      </c>
      <c r="S13" s="497"/>
      <c r="T13" s="823"/>
      <c r="U13" s="823"/>
      <c r="V13" s="823"/>
      <c r="W13" s="823"/>
      <c r="X13" s="823"/>
      <c r="Y13" s="823"/>
      <c r="Z13" s="823"/>
      <c r="AA13" s="823"/>
      <c r="AB13" s="823"/>
      <c r="AC13" s="823"/>
      <c r="AD13" s="823"/>
      <c r="AE13" s="823"/>
      <c r="AF13" s="823"/>
      <c r="AG13" s="823"/>
      <c r="AH13" s="823"/>
    </row>
    <row r="14" spans="1:34" ht="20.25" customHeight="1" x14ac:dyDescent="0.35">
      <c r="A14" s="48"/>
      <c r="B14" s="1243" t="str">
        <f>IF(FOURRAGE!L24="","",FOURRAGE!L24)</f>
        <v/>
      </c>
      <c r="C14" s="1244" t="str">
        <f>FOURRAGE!E23</f>
        <v xml:space="preserve">          </v>
      </c>
      <c r="D14" s="373" t="str">
        <f>IF(C14="","",FOURRAGE!E29)</f>
        <v/>
      </c>
      <c r="E14" s="373" t="str">
        <f>IF(C14="","",FOURRAGE!F29)</f>
        <v/>
      </c>
      <c r="F14" s="373" t="str">
        <f>IF(C14="","",FOURRAGE!G29)</f>
        <v/>
      </c>
      <c r="G14" s="368" t="str">
        <f>IF(C14="","",FOURRAGE!H29)</f>
        <v/>
      </c>
      <c r="H14" s="368" t="str">
        <f>IF(C14="","",FOURRAGE!I29)</f>
        <v/>
      </c>
      <c r="I14" s="374" t="str">
        <f>IF(C14="","",FOURRAGE!J29)</f>
        <v/>
      </c>
      <c r="J14" s="375" t="str">
        <f>IF(C14="","",FOURRAGE!L29)</f>
        <v/>
      </c>
      <c r="K14" s="48"/>
      <c r="L14" s="1270" t="s">
        <v>1209</v>
      </c>
      <c r="M14" s="1271"/>
      <c r="N14" s="1271"/>
      <c r="O14" s="1269" t="s">
        <v>1267</v>
      </c>
      <c r="P14" s="1269"/>
      <c r="Q14" s="965" t="s">
        <v>1268</v>
      </c>
      <c r="R14" s="964" t="s">
        <v>82</v>
      </c>
      <c r="S14" s="497"/>
      <c r="T14" s="823"/>
      <c r="U14" s="823"/>
      <c r="V14" s="823"/>
      <c r="W14" s="823"/>
      <c r="X14" s="823"/>
      <c r="Y14" s="823"/>
      <c r="Z14" s="823"/>
      <c r="AA14" s="823"/>
      <c r="AB14" s="823"/>
      <c r="AC14" s="823"/>
      <c r="AD14" s="823"/>
      <c r="AE14" s="823"/>
      <c r="AF14" s="823"/>
      <c r="AG14" s="823"/>
      <c r="AH14" s="823"/>
    </row>
    <row r="15" spans="1:34" ht="30" customHeight="1" x14ac:dyDescent="0.25">
      <c r="A15" s="48"/>
      <c r="B15" s="1243"/>
      <c r="C15" s="1245"/>
      <c r="D15" s="629" t="str">
        <f>IF(B14="","",B14*(D14/100))</f>
        <v/>
      </c>
      <c r="E15" s="49" t="str">
        <f t="shared" ref="E15:J15" si="1">IF($D$15="","",$D$15*E14)</f>
        <v/>
      </c>
      <c r="F15" s="49" t="str">
        <f t="shared" si="1"/>
        <v/>
      </c>
      <c r="G15" s="232" t="str">
        <f t="shared" si="1"/>
        <v/>
      </c>
      <c r="H15" s="232" t="str">
        <f t="shared" si="1"/>
        <v/>
      </c>
      <c r="I15" s="49" t="str">
        <f t="shared" si="1"/>
        <v/>
      </c>
      <c r="J15" s="50" t="str">
        <f t="shared" si="1"/>
        <v/>
      </c>
      <c r="K15" s="48"/>
      <c r="L15" s="1270"/>
      <c r="M15" s="1271"/>
      <c r="N15" s="1271"/>
      <c r="O15" s="497"/>
      <c r="P15" s="497"/>
      <c r="Q15" s="497"/>
      <c r="R15" s="500"/>
      <c r="S15" s="497"/>
      <c r="T15" s="823"/>
      <c r="U15" s="838"/>
      <c r="V15" s="838"/>
      <c r="W15" s="838"/>
      <c r="X15" s="838"/>
      <c r="Y15" s="838"/>
      <c r="Z15" s="838"/>
      <c r="AA15" s="838"/>
      <c r="AB15" s="838"/>
      <c r="AC15" s="823"/>
      <c r="AD15" s="823"/>
      <c r="AE15" s="823"/>
      <c r="AF15" s="823"/>
      <c r="AG15" s="823"/>
      <c r="AH15" s="823"/>
    </row>
    <row r="16" spans="1:34" s="308" customFormat="1" ht="30" customHeight="1" thickBot="1" x14ac:dyDescent="0.3">
      <c r="A16" s="311"/>
      <c r="B16" s="630" t="str">
        <f>IF(SUM(B12,B14)=0,"",SUM(B12,B14))</f>
        <v/>
      </c>
      <c r="C16" s="631" t="s">
        <v>517</v>
      </c>
      <c r="D16" s="632" t="str">
        <f>IF(B16="","",SUM(D13,D15))</f>
        <v/>
      </c>
      <c r="E16" s="398" t="str">
        <f>IF(B16="","",SUM(E13,E15))</f>
        <v/>
      </c>
      <c r="F16" s="398" t="str">
        <f>IF(B16="","",SUM(F13,F15))</f>
        <v/>
      </c>
      <c r="G16" s="399" t="str">
        <f>IF(B16="","",SUM(G13,G15))</f>
        <v/>
      </c>
      <c r="H16" s="399" t="str">
        <f>IF(B16="","",SUM(H13,H15))</f>
        <v/>
      </c>
      <c r="I16" s="398" t="str">
        <f>IF(B16="","",SUM(I13,I15))</f>
        <v/>
      </c>
      <c r="J16" s="400" t="str">
        <f>IF(B16="","",SUM(J13,J15))</f>
        <v/>
      </c>
      <c r="K16" s="311"/>
      <c r="L16" s="1284" t="s">
        <v>93</v>
      </c>
      <c r="M16" s="1285"/>
      <c r="N16" s="1285"/>
      <c r="O16" s="844"/>
      <c r="P16" s="844"/>
      <c r="Q16" s="844"/>
      <c r="R16" s="845"/>
      <c r="S16" s="497"/>
      <c r="T16" s="838"/>
      <c r="U16" s="838"/>
      <c r="V16" s="838"/>
      <c r="W16" s="838"/>
      <c r="X16" s="838"/>
      <c r="Y16" s="838"/>
      <c r="Z16" s="838"/>
      <c r="AA16" s="838"/>
      <c r="AB16" s="838"/>
      <c r="AC16" s="823"/>
      <c r="AD16" s="823"/>
      <c r="AE16" s="823"/>
      <c r="AF16" s="823"/>
      <c r="AG16" s="823"/>
      <c r="AH16" s="823"/>
    </row>
    <row r="17" spans="1:34" ht="15" customHeight="1" thickBot="1" x14ac:dyDescent="0.45">
      <c r="A17" s="47"/>
      <c r="B17" s="633"/>
      <c r="C17" s="634"/>
      <c r="D17" s="62"/>
      <c r="E17" s="62"/>
      <c r="F17" s="62"/>
      <c r="G17" s="403"/>
      <c r="H17" s="403"/>
      <c r="I17" s="62"/>
      <c r="J17" s="62"/>
      <c r="K17" s="47"/>
      <c r="L17" s="1284"/>
      <c r="M17" s="1285"/>
      <c r="N17" s="1285"/>
      <c r="O17" s="842" t="str">
        <f>IF(G7="","",IF(V18=0,"",V18))</f>
        <v/>
      </c>
      <c r="P17" s="824"/>
      <c r="Q17" s="829"/>
      <c r="R17" s="830"/>
      <c r="S17" s="497"/>
      <c r="T17" s="838"/>
      <c r="U17" s="833"/>
      <c r="V17" s="833"/>
      <c r="W17" s="833"/>
      <c r="X17" s="833"/>
      <c r="Y17" s="838"/>
      <c r="Z17" s="838"/>
      <c r="AA17" s="838"/>
      <c r="AB17" s="838"/>
      <c r="AC17" s="823"/>
      <c r="AD17" s="823"/>
      <c r="AE17" s="823"/>
      <c r="AF17" s="823"/>
      <c r="AG17" s="823"/>
      <c r="AH17" s="823"/>
    </row>
    <row r="18" spans="1:34" ht="30" customHeight="1" thickBot="1" x14ac:dyDescent="0.45">
      <c r="A18" s="48"/>
      <c r="B18" s="1253" t="s">
        <v>90</v>
      </c>
      <c r="C18" s="1254"/>
      <c r="D18" s="1255"/>
      <c r="E18" s="369" t="e">
        <f t="shared" ref="E18:J18" si="2">IF(E8="","",E16-E8)</f>
        <v>#VALUE!</v>
      </c>
      <c r="F18" s="369" t="e">
        <f t="shared" si="2"/>
        <v>#VALUE!</v>
      </c>
      <c r="G18" s="384" t="e">
        <f t="shared" si="2"/>
        <v>#VALUE!</v>
      </c>
      <c r="H18" s="384" t="e">
        <f t="shared" si="2"/>
        <v>#VALUE!</v>
      </c>
      <c r="I18" s="369" t="e">
        <f t="shared" si="2"/>
        <v>#VALUE!</v>
      </c>
      <c r="J18" s="390" t="e">
        <f t="shared" si="2"/>
        <v>#VALUE!</v>
      </c>
      <c r="K18" s="48"/>
      <c r="L18" s="527"/>
      <c r="M18" s="973"/>
      <c r="N18" s="973"/>
      <c r="O18" s="843"/>
      <c r="P18" s="825"/>
      <c r="Q18" s="831"/>
      <c r="R18" s="500"/>
      <c r="S18" s="497"/>
      <c r="T18" s="833" t="s">
        <v>525</v>
      </c>
      <c r="U18" s="841" t="str">
        <f>B12</f>
        <v/>
      </c>
      <c r="V18" s="834">
        <f>SUM(U18,U19)/SUM(U18,U19,U20,U21,0.0001)</f>
        <v>0</v>
      </c>
      <c r="W18" s="835" t="str">
        <f>F13</f>
        <v/>
      </c>
      <c r="X18" s="836">
        <f>SUM(W18,W19)/SUM(W18,W19,W20,W21,0.0001)</f>
        <v>0</v>
      </c>
      <c r="Y18" s="949" t="str">
        <f>G13</f>
        <v/>
      </c>
      <c r="Z18" s="948">
        <f>SUM(Y18,Y19)/SUM(Y18,Y19,Y20,Y21,0.0001)</f>
        <v>0</v>
      </c>
      <c r="AA18" s="838"/>
      <c r="AB18" s="838"/>
      <c r="AC18" s="823"/>
      <c r="AD18" s="823"/>
      <c r="AE18" s="823"/>
      <c r="AF18" s="823"/>
      <c r="AG18" s="823"/>
      <c r="AH18" s="823"/>
    </row>
    <row r="19" spans="1:34" ht="15" customHeight="1" thickBot="1" x14ac:dyDescent="0.45">
      <c r="A19" s="47"/>
      <c r="B19" s="633"/>
      <c r="C19" s="63"/>
      <c r="D19" s="63"/>
      <c r="E19" s="60"/>
      <c r="F19" s="60"/>
      <c r="G19" s="370"/>
      <c r="H19" s="370"/>
      <c r="I19" s="60"/>
      <c r="J19" s="60"/>
      <c r="K19" s="47"/>
      <c r="L19" s="1286" t="s">
        <v>1206</v>
      </c>
      <c r="M19" s="1287"/>
      <c r="N19" s="1287"/>
      <c r="O19" s="842" t="str">
        <f>IF(V19=0,"",V19)</f>
        <v/>
      </c>
      <c r="P19" s="344"/>
      <c r="Q19" s="829"/>
      <c r="R19" s="830"/>
      <c r="S19" s="497"/>
      <c r="T19" s="833" t="s">
        <v>526</v>
      </c>
      <c r="U19" s="841" t="str">
        <f>B14</f>
        <v/>
      </c>
      <c r="V19" s="834">
        <f>SUM(U20,U21)/SUM(U18,U19,U20,U21,0.0001)</f>
        <v>0</v>
      </c>
      <c r="W19" s="837" t="str">
        <f>F15</f>
        <v/>
      </c>
      <c r="X19" s="836">
        <f>SUM(W20,W21)/SUM(W18,W19,W20,W21,0.0001)</f>
        <v>0</v>
      </c>
      <c r="Y19" s="949" t="str">
        <f>H15</f>
        <v/>
      </c>
      <c r="Z19" s="948">
        <f>SUM(Y20,Y21)/SUM(Y18,Y19,Y20,Y21,0.0001)</f>
        <v>0</v>
      </c>
      <c r="AA19" s="838"/>
      <c r="AB19" s="838"/>
      <c r="AC19" s="823"/>
      <c r="AD19" s="823"/>
      <c r="AE19" s="823"/>
      <c r="AF19" s="823"/>
      <c r="AG19" s="823"/>
      <c r="AH19" s="823"/>
    </row>
    <row r="20" spans="1:34" ht="20.25" customHeight="1" x14ac:dyDescent="0.4">
      <c r="A20" s="48"/>
      <c r="B20" s="1260" t="str">
        <f>IF(CONCENTRE!K9="","",CONCENTRE!K9)</f>
        <v/>
      </c>
      <c r="C20" s="1261" t="str">
        <f>IF(B20="","",CONCENTRE!C10)</f>
        <v/>
      </c>
      <c r="D20" s="66"/>
      <c r="E20" s="66"/>
      <c r="F20" s="51" t="str">
        <f>IF(C20="","",CONCENTRE!E10)</f>
        <v/>
      </c>
      <c r="G20" s="367" t="str">
        <f>IF(C20="","",CONCENTRE!F10)</f>
        <v/>
      </c>
      <c r="H20" s="367" t="str">
        <f>IF(C20="","",CONCENTRE!G10)</f>
        <v/>
      </c>
      <c r="I20" s="53" t="str">
        <f>IF(C20="","",CONCENTRE!H10)</f>
        <v/>
      </c>
      <c r="J20" s="54" t="str">
        <f>IF(C20="","",CONCENTRE!I10)</f>
        <v/>
      </c>
      <c r="K20" s="48"/>
      <c r="L20" s="1286"/>
      <c r="M20" s="1287"/>
      <c r="N20" s="1287"/>
      <c r="O20" s="843"/>
      <c r="P20" s="824"/>
      <c r="Q20" s="829"/>
      <c r="R20" s="500"/>
      <c r="S20" s="497"/>
      <c r="T20" s="833" t="s">
        <v>1203</v>
      </c>
      <c r="U20" s="841" t="str">
        <f>B20</f>
        <v/>
      </c>
      <c r="V20" s="833"/>
      <c r="W20" s="835" t="str">
        <f>F21</f>
        <v/>
      </c>
      <c r="X20" s="833"/>
      <c r="Y20" s="949" t="str">
        <f>G21</f>
        <v/>
      </c>
      <c r="Z20" s="838"/>
      <c r="AA20" s="838"/>
      <c r="AB20" s="838"/>
      <c r="AC20" s="823"/>
      <c r="AD20" s="823"/>
      <c r="AE20" s="823"/>
      <c r="AF20" s="823"/>
      <c r="AG20" s="823"/>
      <c r="AH20" s="823"/>
    </row>
    <row r="21" spans="1:34" ht="30" customHeight="1" x14ac:dyDescent="0.25">
      <c r="A21" s="48"/>
      <c r="B21" s="1243"/>
      <c r="C21" s="1259"/>
      <c r="D21" s="68"/>
      <c r="E21" s="69"/>
      <c r="F21" s="49" t="str">
        <f>IF(B20="","",$B$20*F20)</f>
        <v/>
      </c>
      <c r="G21" s="232" t="str">
        <f>IF(B20="","",$B$20*G20)</f>
        <v/>
      </c>
      <c r="H21" s="232" t="str">
        <f>IF(B20="","",$B$20*H20)</f>
        <v/>
      </c>
      <c r="I21" s="49" t="str">
        <f>IF(B20="","",$B$20*I20)</f>
        <v/>
      </c>
      <c r="J21" s="50" t="str">
        <f>IF(B20="","",$B$20*J20)</f>
        <v/>
      </c>
      <c r="K21" s="48"/>
      <c r="L21" s="504"/>
      <c r="M21" s="501"/>
      <c r="N21" s="501"/>
      <c r="O21" s="832"/>
      <c r="P21" s="832"/>
      <c r="Q21" s="832"/>
      <c r="R21" s="502"/>
      <c r="S21" s="497"/>
      <c r="T21" s="833" t="s">
        <v>1204</v>
      </c>
      <c r="U21" s="841" t="str">
        <f>B22</f>
        <v/>
      </c>
      <c r="V21" s="833"/>
      <c r="W21" s="835" t="str">
        <f>F23</f>
        <v/>
      </c>
      <c r="X21" s="750"/>
      <c r="Y21" s="949" t="str">
        <f>G23</f>
        <v/>
      </c>
      <c r="Z21" s="838"/>
      <c r="AA21" s="838"/>
      <c r="AB21" s="838"/>
      <c r="AC21" s="823"/>
      <c r="AD21" s="823"/>
      <c r="AE21" s="823"/>
      <c r="AF21" s="823"/>
      <c r="AG21" s="823"/>
      <c r="AH21" s="823"/>
    </row>
    <row r="22" spans="1:34" ht="20.25" customHeight="1" x14ac:dyDescent="0.25">
      <c r="A22" s="48"/>
      <c r="B22" s="1243" t="str">
        <f>IF(CONCENTRE!K16="","",CONCENTRE!K16)</f>
        <v/>
      </c>
      <c r="C22" s="1258" t="str">
        <f>IF(B22="","",CONCENTRE!C17)</f>
        <v/>
      </c>
      <c r="D22" s="70"/>
      <c r="E22" s="70"/>
      <c r="F22" s="128" t="str">
        <f>IF(C22="","",CONCENTRE!E17)</f>
        <v/>
      </c>
      <c r="G22" s="368" t="str">
        <f>IF(C22="","",CONCENTRE!F17)</f>
        <v/>
      </c>
      <c r="H22" s="368" t="str">
        <f>IF(C22="","",CONCENTRE!G17)</f>
        <v/>
      </c>
      <c r="I22" s="129" t="str">
        <f>IF(C22="","",CONCENTRE!H17)</f>
        <v/>
      </c>
      <c r="J22" s="130" t="str">
        <f>IF(C22="","",CONCENTRE!I17)</f>
        <v/>
      </c>
      <c r="K22" s="48"/>
      <c r="L22" s="501"/>
      <c r="M22" s="501"/>
      <c r="N22" s="501"/>
      <c r="O22" s="501"/>
      <c r="P22" s="501"/>
      <c r="Q22" s="501"/>
      <c r="R22" s="501"/>
      <c r="S22" s="497"/>
      <c r="T22" s="833"/>
      <c r="U22" s="838"/>
      <c r="V22" s="838"/>
      <c r="W22" s="838"/>
      <c r="X22" s="838"/>
      <c r="Y22" s="838"/>
      <c r="Z22" s="838"/>
      <c r="AA22" s="838"/>
      <c r="AB22" s="838"/>
      <c r="AC22" s="823"/>
      <c r="AD22" s="823"/>
      <c r="AE22" s="823"/>
      <c r="AF22" s="823"/>
      <c r="AG22" s="823"/>
      <c r="AH22" s="823"/>
    </row>
    <row r="23" spans="1:34" ht="30" customHeight="1" x14ac:dyDescent="0.25">
      <c r="A23" s="48"/>
      <c r="B23" s="1243"/>
      <c r="C23" s="1259"/>
      <c r="D23" s="68"/>
      <c r="E23" s="69"/>
      <c r="F23" s="49" t="str">
        <f>IF(B22="","",$B$22*F22)</f>
        <v/>
      </c>
      <c r="G23" s="232" t="str">
        <f>IF(B22="","",$B$22*G22)</f>
        <v/>
      </c>
      <c r="H23" s="232" t="str">
        <f>IF(B22="","",$B$22*H22)</f>
        <v/>
      </c>
      <c r="I23" s="49" t="str">
        <f>IF(B22="","",$B$22*I22)</f>
        <v/>
      </c>
      <c r="J23" s="50" t="str">
        <f>IF(B22="","",$B$22*J22)</f>
        <v/>
      </c>
      <c r="K23" s="48"/>
      <c r="L23" s="1265" t="s">
        <v>1205</v>
      </c>
      <c r="M23" s="1266"/>
      <c r="N23" s="1266"/>
      <c r="O23" s="1266"/>
      <c r="P23" s="1266"/>
      <c r="Q23" s="1266"/>
      <c r="R23" s="1267"/>
      <c r="S23" s="497"/>
      <c r="T23" s="823"/>
      <c r="U23" s="838"/>
      <c r="V23" s="838"/>
      <c r="W23" s="838"/>
      <c r="X23" s="838"/>
      <c r="Y23" s="838"/>
      <c r="Z23" s="838"/>
      <c r="AA23" s="838"/>
      <c r="AB23" s="838"/>
      <c r="AC23" s="823"/>
      <c r="AD23" s="823"/>
      <c r="AE23" s="823"/>
      <c r="AF23" s="823"/>
      <c r="AG23" s="823"/>
      <c r="AH23" s="823"/>
    </row>
    <row r="24" spans="1:34" ht="30" customHeight="1" thickBot="1" x14ac:dyDescent="0.3">
      <c r="A24" s="48"/>
      <c r="B24" s="635" t="str">
        <f>IF(SUM(B20,B22)=0,"",SUM(B20,B22))</f>
        <v/>
      </c>
      <c r="C24" s="636" t="s">
        <v>93</v>
      </c>
      <c r="D24" s="67"/>
      <c r="E24" s="67"/>
      <c r="F24" s="382" t="str">
        <f>IF(B24="","",SUM(F21,F23))</f>
        <v/>
      </c>
      <c r="G24" s="401" t="str">
        <f>IF(B24="","",SUM(G21,G23))</f>
        <v/>
      </c>
      <c r="H24" s="401" t="str">
        <f>IF(B24="","",SUM(H21,H23))</f>
        <v/>
      </c>
      <c r="I24" s="382" t="str">
        <f>IF(B24="","",SUM(I21,I23))</f>
        <v/>
      </c>
      <c r="J24" s="381" t="str">
        <f>IF(B24="","",SUM(J21,J23))</f>
        <v/>
      </c>
      <c r="K24" s="48"/>
      <c r="L24" s="527"/>
      <c r="M24" s="526"/>
      <c r="N24" s="526"/>
      <c r="O24" s="826"/>
      <c r="P24" s="526"/>
      <c r="Q24" s="526"/>
      <c r="R24" s="500"/>
      <c r="S24" s="497"/>
      <c r="T24" s="823"/>
      <c r="U24" s="823"/>
      <c r="V24" s="823"/>
      <c r="W24" s="823"/>
      <c r="X24" s="823"/>
      <c r="Y24" s="823"/>
      <c r="Z24" s="823"/>
      <c r="AA24" s="823"/>
      <c r="AB24" s="823"/>
      <c r="AC24" s="823"/>
      <c r="AD24" s="823"/>
      <c r="AE24" s="823"/>
      <c r="AF24" s="823"/>
      <c r="AG24" s="823"/>
      <c r="AH24" s="823"/>
    </row>
    <row r="25" spans="1:34" ht="15" customHeight="1" thickBot="1" x14ac:dyDescent="0.3">
      <c r="A25" s="47"/>
      <c r="B25" s="61"/>
      <c r="C25" s="64"/>
      <c r="D25" s="62"/>
      <c r="E25" s="62"/>
      <c r="F25" s="62"/>
      <c r="G25" s="62"/>
      <c r="H25" s="62"/>
      <c r="I25" s="62"/>
      <c r="J25" s="62"/>
      <c r="K25" s="47"/>
      <c r="L25" s="527"/>
      <c r="M25" s="526"/>
      <c r="N25" s="526"/>
      <c r="O25" s="826"/>
      <c r="P25" s="526"/>
      <c r="Q25" s="526"/>
      <c r="R25" s="500"/>
      <c r="S25" s="497"/>
      <c r="T25" s="823"/>
      <c r="U25" s="823"/>
      <c r="V25" s="823"/>
      <c r="W25" s="823"/>
      <c r="X25" s="823"/>
      <c r="Y25" s="823"/>
      <c r="Z25" s="823"/>
      <c r="AA25" s="823"/>
      <c r="AB25" s="823"/>
      <c r="AC25" s="823"/>
      <c r="AD25" s="823"/>
      <c r="AE25" s="823"/>
      <c r="AF25" s="823"/>
      <c r="AG25" s="823"/>
      <c r="AH25" s="823"/>
    </row>
    <row r="26" spans="1:34" ht="20.25" customHeight="1" x14ac:dyDescent="0.25">
      <c r="A26" s="48"/>
      <c r="B26" s="1264" t="s">
        <v>464</v>
      </c>
      <c r="C26" s="276" t="s">
        <v>472</v>
      </c>
      <c r="D26" s="1262" t="str">
        <f>IF(D29="","",(G29-H29)/F29)</f>
        <v/>
      </c>
      <c r="E26" s="267" t="s">
        <v>467</v>
      </c>
      <c r="F26" s="1250" t="str">
        <f>IF(CMV!C8="","",(CMV!C12)/1000)</f>
        <v/>
      </c>
      <c r="G26" s="1246" t="str">
        <f>IF(F26="","",CMV!L8)</f>
        <v/>
      </c>
      <c r="H26" s="1247"/>
      <c r="I26" s="52" t="str">
        <f>CMV!G14</f>
        <v/>
      </c>
      <c r="J26" s="278" t="str">
        <f>CMV!I14</f>
        <v/>
      </c>
      <c r="K26" s="48"/>
      <c r="L26" s="527"/>
      <c r="M26" s="526"/>
      <c r="N26" s="526"/>
      <c r="O26" s="827"/>
      <c r="P26" s="526"/>
      <c r="Q26" s="526"/>
      <c r="R26" s="500"/>
      <c r="S26" s="497"/>
      <c r="T26" s="823"/>
      <c r="U26" s="823"/>
      <c r="V26" s="823"/>
      <c r="W26" s="823"/>
      <c r="X26" s="823"/>
      <c r="Y26" s="823"/>
      <c r="Z26" s="823"/>
      <c r="AA26" s="823"/>
      <c r="AB26" s="823"/>
      <c r="AC26" s="823"/>
      <c r="AD26" s="823"/>
      <c r="AE26" s="823"/>
      <c r="AF26" s="823"/>
      <c r="AG26" s="823"/>
      <c r="AH26" s="823"/>
    </row>
    <row r="27" spans="1:34" ht="30" customHeight="1" thickBot="1" x14ac:dyDescent="0.35">
      <c r="A27" s="48"/>
      <c r="B27" s="1264"/>
      <c r="C27" s="277" t="s">
        <v>473</v>
      </c>
      <c r="D27" s="1263"/>
      <c r="E27" s="71"/>
      <c r="F27" s="1251"/>
      <c r="G27" s="1248"/>
      <c r="H27" s="1249"/>
      <c r="I27" s="131" t="str">
        <f>IF(F26="","",I26*F26)</f>
        <v/>
      </c>
      <c r="J27" s="132" t="str">
        <f>IF(F26="","",J26*F26)</f>
        <v/>
      </c>
      <c r="K27" s="48"/>
      <c r="L27" s="527"/>
      <c r="M27" s="526"/>
      <c r="N27" s="526"/>
      <c r="O27" s="526"/>
      <c r="P27" s="526"/>
      <c r="Q27" s="526"/>
      <c r="R27" s="500"/>
      <c r="S27" s="497"/>
      <c r="T27" s="823"/>
      <c r="U27" s="823"/>
      <c r="V27" s="823"/>
      <c r="W27" s="823"/>
      <c r="X27" s="823"/>
      <c r="Y27" s="823"/>
      <c r="Z27" s="823"/>
      <c r="AA27" s="823"/>
      <c r="AB27" s="823"/>
      <c r="AC27" s="823"/>
      <c r="AD27" s="823"/>
      <c r="AE27" s="823"/>
      <c r="AF27" s="823"/>
      <c r="AG27" s="823"/>
      <c r="AH27" s="823"/>
    </row>
    <row r="28" spans="1:34" ht="15" customHeight="1" thickBot="1" x14ac:dyDescent="0.3">
      <c r="A28" s="48"/>
      <c r="B28" s="59"/>
      <c r="C28" s="65"/>
      <c r="D28" s="59"/>
      <c r="E28" s="59"/>
      <c r="F28" s="59"/>
      <c r="G28" s="59"/>
      <c r="H28" s="59"/>
      <c r="I28" s="59"/>
      <c r="J28" s="59"/>
      <c r="K28" s="48"/>
      <c r="L28" s="527"/>
      <c r="M28" s="526"/>
      <c r="N28" s="526"/>
      <c r="O28" s="526"/>
      <c r="P28" s="526"/>
      <c r="Q28" s="526"/>
      <c r="R28" s="500"/>
      <c r="S28" s="497"/>
      <c r="T28" s="823"/>
      <c r="U28" s="823"/>
      <c r="V28" s="823"/>
      <c r="W28" s="823"/>
      <c r="X28" s="823"/>
      <c r="Y28" s="823"/>
      <c r="Z28" s="823"/>
      <c r="AA28" s="823"/>
      <c r="AB28" s="823"/>
      <c r="AC28" s="823"/>
      <c r="AD28" s="823"/>
      <c r="AE28" s="823"/>
      <c r="AF28" s="823"/>
      <c r="AG28" s="823"/>
      <c r="AH28" s="823"/>
    </row>
    <row r="29" spans="1:34" ht="30" customHeight="1" thickBot="1" x14ac:dyDescent="0.3">
      <c r="A29" s="48"/>
      <c r="B29" s="389" t="str">
        <f>IF(B16="","",SUM(B16,B24,F26))</f>
        <v/>
      </c>
      <c r="C29" s="55" t="s">
        <v>89</v>
      </c>
      <c r="D29" s="56" t="str">
        <f>D16</f>
        <v/>
      </c>
      <c r="E29" s="56" t="str">
        <f>E16</f>
        <v/>
      </c>
      <c r="F29" s="56" t="e">
        <f>IF(F18="","",SUM(F24,F16))</f>
        <v>#VALUE!</v>
      </c>
      <c r="G29" s="385" t="e">
        <f>IF(G18="","",SUM(G24,G16))</f>
        <v>#VALUE!</v>
      </c>
      <c r="H29" s="385" t="e">
        <f>IF(H18="","",SUM(H24,H16))</f>
        <v>#VALUE!</v>
      </c>
      <c r="I29" s="56" t="e">
        <f>IF(I18="","",SUM(I24,I16,I27))</f>
        <v>#VALUE!</v>
      </c>
      <c r="J29" s="57" t="e">
        <f>IF(J18="","",SUM(J24,J16,J27))</f>
        <v>#VALUE!</v>
      </c>
      <c r="K29" s="48"/>
      <c r="L29" s="527"/>
      <c r="M29" s="526"/>
      <c r="N29" s="526"/>
      <c r="O29" s="526"/>
      <c r="P29" s="526"/>
      <c r="Q29" s="526"/>
      <c r="R29" s="500"/>
      <c r="S29" s="497"/>
      <c r="T29" s="823"/>
      <c r="U29" s="823"/>
      <c r="V29" s="823"/>
      <c r="W29" s="823"/>
      <c r="X29" s="823"/>
      <c r="Y29" s="823"/>
      <c r="Z29" s="823"/>
      <c r="AA29" s="823"/>
      <c r="AB29" s="823"/>
      <c r="AC29" s="823"/>
      <c r="AD29" s="823"/>
      <c r="AE29" s="823"/>
      <c r="AF29" s="823"/>
      <c r="AG29" s="823"/>
      <c r="AH29" s="823"/>
    </row>
    <row r="30" spans="1:34" ht="15" customHeight="1" thickBot="1" x14ac:dyDescent="0.3">
      <c r="A30" s="48"/>
      <c r="B30" s="59"/>
      <c r="C30" s="59"/>
      <c r="D30" s="59"/>
      <c r="E30" s="59"/>
      <c r="F30" s="59"/>
      <c r="G30" s="404"/>
      <c r="H30" s="404"/>
      <c r="I30" s="59"/>
      <c r="J30" s="59"/>
      <c r="K30" s="48"/>
      <c r="L30" s="527"/>
      <c r="M30" s="526"/>
      <c r="N30" s="826"/>
      <c r="O30" s="828"/>
      <c r="P30" s="526"/>
      <c r="Q30" s="526"/>
      <c r="R30" s="500"/>
      <c r="S30" s="497"/>
      <c r="T30" s="823"/>
      <c r="U30" s="823"/>
      <c r="V30" s="823"/>
      <c r="W30" s="823"/>
      <c r="X30" s="823"/>
      <c r="Y30" s="823"/>
      <c r="Z30" s="823"/>
      <c r="AA30" s="823"/>
      <c r="AB30" s="823"/>
      <c r="AC30" s="823"/>
      <c r="AD30" s="823"/>
      <c r="AE30" s="823"/>
      <c r="AF30" s="823"/>
      <c r="AG30" s="823"/>
      <c r="AH30" s="823"/>
    </row>
    <row r="31" spans="1:34" ht="30" customHeight="1" thickBot="1" x14ac:dyDescent="0.3">
      <c r="A31" s="48"/>
      <c r="B31" s="59"/>
      <c r="C31" s="1256" t="s">
        <v>90</v>
      </c>
      <c r="D31" s="1257"/>
      <c r="E31" s="58" t="str">
        <f>IF(B16="","",E29-E8)</f>
        <v/>
      </c>
      <c r="F31" s="58" t="str">
        <f>IF($B$16="","",F29-F8)</f>
        <v/>
      </c>
      <c r="G31" s="384" t="str">
        <f>IF($B$16="","",G29-G8)</f>
        <v/>
      </c>
      <c r="H31" s="243" t="str">
        <f>IF($B$16="","",H29-H8)</f>
        <v/>
      </c>
      <c r="I31" s="244" t="str">
        <f>IF($B$16="","",I29-I8)</f>
        <v/>
      </c>
      <c r="J31" s="245" t="str">
        <f>IF($B$16="","",J29-J8)</f>
        <v/>
      </c>
      <c r="K31" s="48"/>
      <c r="L31" s="504"/>
      <c r="M31" s="501"/>
      <c r="N31" s="839"/>
      <c r="O31" s="840"/>
      <c r="P31" s="501"/>
      <c r="Q31" s="501"/>
      <c r="R31" s="502"/>
      <c r="S31" s="497"/>
      <c r="T31" s="823"/>
      <c r="U31" s="823"/>
      <c r="V31" s="823"/>
      <c r="W31" s="823"/>
      <c r="X31" s="823"/>
      <c r="Y31" s="823"/>
      <c r="Z31" s="823"/>
      <c r="AA31" s="823"/>
      <c r="AB31" s="823"/>
      <c r="AC31" s="823"/>
      <c r="AD31" s="823"/>
      <c r="AE31" s="823"/>
      <c r="AF31" s="823"/>
      <c r="AG31" s="823"/>
      <c r="AH31" s="823"/>
    </row>
    <row r="32" spans="1:34" ht="29.25" customHeight="1" x14ac:dyDescent="0.25">
      <c r="A32" s="1242" t="s">
        <v>986</v>
      </c>
      <c r="B32" s="1242"/>
      <c r="C32" s="1242"/>
      <c r="D32" s="1242"/>
      <c r="E32" s="1252" t="str">
        <f>IF(E31="","",IF(E31&gt;0.01,"ATTENTION ! La capacité d'ingestion est dépassée: REDUISEZ LES QUANTITES DE FOURRAGE",""))</f>
        <v/>
      </c>
      <c r="F32" s="1252"/>
      <c r="G32" s="1252"/>
      <c r="H32" s="1252"/>
      <c r="I32" s="1252"/>
      <c r="J32" s="1252"/>
      <c r="K32" s="48"/>
      <c r="L32" s="526"/>
      <c r="M32" s="526"/>
      <c r="N32" s="526"/>
      <c r="O32" s="526"/>
      <c r="P32" s="526"/>
      <c r="Q32" s="526"/>
      <c r="R32" s="526"/>
      <c r="S32" s="497"/>
      <c r="T32" s="823"/>
      <c r="U32" s="823"/>
      <c r="V32" s="823"/>
      <c r="W32" s="823"/>
      <c r="X32" s="823"/>
      <c r="Y32" s="823"/>
      <c r="Z32" s="823"/>
      <c r="AA32" s="823"/>
      <c r="AB32" s="823"/>
      <c r="AC32" s="823"/>
      <c r="AD32" s="823"/>
      <c r="AE32" s="823"/>
      <c r="AF32" s="823"/>
      <c r="AG32" s="823"/>
      <c r="AH32" s="823"/>
    </row>
    <row r="33" spans="1:34" x14ac:dyDescent="0.25">
      <c r="A33" s="1242"/>
      <c r="B33" s="1242"/>
      <c r="C33" s="1242"/>
      <c r="D33" s="1242"/>
      <c r="E33" s="100"/>
      <c r="F33" s="100"/>
      <c r="G33" s="100"/>
      <c r="H33" s="100"/>
      <c r="I33" s="100"/>
      <c r="J33" s="100"/>
      <c r="K33" s="100"/>
      <c r="L33" s="526"/>
      <c r="M33" s="526"/>
      <c r="N33" s="526"/>
      <c r="O33" s="526"/>
      <c r="P33" s="526"/>
      <c r="Q33" s="526"/>
      <c r="R33" s="526"/>
      <c r="S33" s="497"/>
      <c r="T33" s="823"/>
      <c r="U33" s="823"/>
      <c r="V33" s="823"/>
      <c r="W33" s="823"/>
      <c r="X33" s="823"/>
      <c r="Y33" s="823"/>
      <c r="Z33" s="823"/>
      <c r="AA33" s="823"/>
      <c r="AB33" s="823"/>
      <c r="AC33" s="823"/>
      <c r="AD33" s="823"/>
      <c r="AE33" s="823"/>
      <c r="AF33" s="823"/>
      <c r="AG33" s="823"/>
      <c r="AH33" s="823"/>
    </row>
    <row r="34" spans="1:34" x14ac:dyDescent="0.25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497"/>
      <c r="M34" s="497"/>
      <c r="N34" s="497"/>
      <c r="O34" s="497"/>
      <c r="P34" s="497"/>
      <c r="Q34" s="497"/>
      <c r="R34" s="497"/>
      <c r="S34" s="497"/>
      <c r="T34" s="823"/>
      <c r="U34" s="823"/>
      <c r="V34" s="823"/>
      <c r="W34" s="823"/>
      <c r="X34" s="823"/>
      <c r="Y34" s="823"/>
      <c r="Z34" s="823"/>
      <c r="AA34" s="823"/>
      <c r="AB34" s="823"/>
      <c r="AC34" s="823"/>
      <c r="AD34" s="823"/>
      <c r="AE34" s="823"/>
      <c r="AF34" s="823"/>
      <c r="AG34" s="823"/>
      <c r="AH34" s="823"/>
    </row>
  </sheetData>
  <protectedRanges>
    <protectedRange sqref="O25 P19:Q19 W20" name="Plage3"/>
  </protectedRanges>
  <mergeCells count="32">
    <mergeCell ref="L16:N17"/>
    <mergeCell ref="L19:N20"/>
    <mergeCell ref="F4:R4"/>
    <mergeCell ref="L6:R6"/>
    <mergeCell ref="L7:R7"/>
    <mergeCell ref="C12:C13"/>
    <mergeCell ref="B12:B13"/>
    <mergeCell ref="B2:R2"/>
    <mergeCell ref="O14:P14"/>
    <mergeCell ref="L14:N15"/>
    <mergeCell ref="B8:D8"/>
    <mergeCell ref="D10:J10"/>
    <mergeCell ref="B10:B11"/>
    <mergeCell ref="E6:J6"/>
    <mergeCell ref="B6:D7"/>
    <mergeCell ref="C10:C11"/>
    <mergeCell ref="B1:R1"/>
    <mergeCell ref="A32:D33"/>
    <mergeCell ref="B14:B15"/>
    <mergeCell ref="C14:C15"/>
    <mergeCell ref="G26:H27"/>
    <mergeCell ref="F26:F27"/>
    <mergeCell ref="E32:J32"/>
    <mergeCell ref="B18:D18"/>
    <mergeCell ref="C31:D31"/>
    <mergeCell ref="C22:C23"/>
    <mergeCell ref="B22:B23"/>
    <mergeCell ref="B20:B21"/>
    <mergeCell ref="C20:C21"/>
    <mergeCell ref="D26:D27"/>
    <mergeCell ref="B26:B27"/>
    <mergeCell ref="L23:R23"/>
  </mergeCells>
  <conditionalFormatting sqref="E32:J32">
    <cfRule type="iconSet" priority="38">
      <iconSet iconSet="3TrafficLights2" reverse="1">
        <cfvo type="percent" val="0"/>
        <cfvo type="num" val="0"/>
        <cfvo type="num" val="0"/>
      </iconSet>
    </cfRule>
  </conditionalFormatting>
  <conditionalFormatting sqref="E31">
    <cfRule type="iconSet" priority="33">
      <iconSet iconSet="3TrafficLights2" reverse="1">
        <cfvo type="percent" val="0"/>
        <cfvo type="num" val="0.1"/>
        <cfvo type="num" val="0.1"/>
      </iconSet>
    </cfRule>
    <cfRule type="iconSet" priority="36">
      <iconSet iconSet="3TrafficLights2" showValue="0" reverse="1">
        <cfvo type="percent" val="0"/>
        <cfvo type="percent" val="0"/>
        <cfvo type="num" val="0"/>
      </iconSet>
    </cfRule>
  </conditionalFormatting>
  <conditionalFormatting sqref="E31">
    <cfRule type="cellIs" dxfId="0" priority="34" operator="greaterThan">
      <formula>0</formula>
    </cfRule>
  </conditionalFormatting>
  <conditionalFormatting sqref="M13">
    <cfRule type="iconSet" priority="8">
      <iconSet iconSet="3TrafficLights2" showValue="0">
        <cfvo type="percent" val="0"/>
        <cfvo type="num" val="0.9"/>
        <cfvo type="num" val="0.95"/>
      </iconSet>
    </cfRule>
  </conditionalFormatting>
  <conditionalFormatting sqref="N13">
    <cfRule type="iconSet" priority="4">
      <iconSet iconSet="3TrafficLights2" showValue="0">
        <cfvo type="percent" val="0"/>
        <cfvo type="num" val="0.9"/>
        <cfvo type="num" val="0.95"/>
      </iconSet>
    </cfRule>
  </conditionalFormatting>
  <conditionalFormatting sqref="P13">
    <cfRule type="iconSet" priority="3">
      <iconSet iconSet="3TrafficLights2" showValue="0">
        <cfvo type="percent" val="0"/>
        <cfvo type="num" val="0.9"/>
        <cfvo type="num" val="0.95"/>
      </iconSet>
    </cfRule>
  </conditionalFormatting>
  <conditionalFormatting sqref="Q13">
    <cfRule type="iconSet" priority="2">
      <iconSet iconSet="3TrafficLights2" showValue="0">
        <cfvo type="percent" val="0"/>
        <cfvo type="num" val="0.9"/>
        <cfvo type="num" val="0.95"/>
      </iconSet>
    </cfRule>
  </conditionalFormatting>
  <conditionalFormatting sqref="R13">
    <cfRule type="iconSet" priority="1">
      <iconSet iconSet="3TrafficLights2" showValue="0">
        <cfvo type="percent" val="0"/>
        <cfvo type="num" val="0.9"/>
        <cfvo type="num" val="0.95"/>
      </iconSet>
    </cfRule>
  </conditionalFormatting>
  <dataValidations disablePrompts="1" count="4">
    <dataValidation type="list" allowBlank="1" showInputMessage="1" showErrorMessage="1" sqref="P19">
      <formula1>$C$30:$C$36</formula1>
    </dataValidation>
    <dataValidation type="list" allowBlank="1" showInputMessage="1" showErrorMessage="1" sqref="P21">
      <formula1>$C$40:$C$51</formula1>
    </dataValidation>
    <dataValidation type="list" allowBlank="1" showInputMessage="1" showErrorMessage="1" sqref="O24">
      <formula1>$B$40:$B$70</formula1>
    </dataValidation>
    <dataValidation type="list" allowBlank="1" showInputMessage="1" showErrorMessage="1" sqref="O25">
      <formula1>$B$30:$B$55</formula1>
    </dataValidation>
  </dataValidations>
  <pageMargins left="0.19685039370078741" right="0.19685039370078741" top="0.19685039370078741" bottom="0.19685039370078741" header="0.31496062992125984" footer="0.31496062992125984"/>
  <pageSetup paperSize="9" scale="96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/>
  <dimension ref="A1:V99"/>
  <sheetViews>
    <sheetView showGridLines="0" zoomScale="72" zoomScaleNormal="80" workbookViewId="0"/>
  </sheetViews>
  <sheetFormatPr defaultColWidth="11.42578125" defaultRowHeight="15" outlineLevelRow="1" x14ac:dyDescent="0.25"/>
  <cols>
    <col min="1" max="1" width="4" style="122" customWidth="1"/>
    <col min="2" max="2" width="11.28515625" style="122" customWidth="1"/>
    <col min="3" max="3" width="20.42578125" style="659" customWidth="1"/>
    <col min="4" max="4" width="26.42578125" style="122" customWidth="1"/>
    <col min="5" max="5" width="9.7109375" style="122" customWidth="1"/>
    <col min="6" max="6" width="10.5703125" style="122" customWidth="1"/>
    <col min="7" max="7" width="10.5703125" style="993" customWidth="1"/>
    <col min="8" max="11" width="10.5703125" style="122" customWidth="1"/>
    <col min="12" max="13" width="10.5703125" style="993" customWidth="1"/>
    <col min="14" max="14" width="3.140625" style="85" customWidth="1"/>
    <col min="15" max="15" width="19.7109375" style="122" customWidth="1"/>
    <col min="16" max="16" width="4" style="122" customWidth="1"/>
    <col min="17" max="17" width="20.140625" style="122" customWidth="1"/>
    <col min="18" max="18" width="11.42578125" style="122" customWidth="1"/>
    <col min="19" max="19" width="3.7109375" style="122" customWidth="1"/>
    <col min="20" max="16384" width="11.42578125" style="122"/>
  </cols>
  <sheetData>
    <row r="1" spans="1:22" ht="54.75" customHeight="1" thickBot="1" x14ac:dyDescent="0.3">
      <c r="A1" s="126"/>
      <c r="B1" s="1080" t="s">
        <v>1275</v>
      </c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  <c r="Q1" s="1080"/>
      <c r="R1" s="1080"/>
      <c r="S1" s="497"/>
    </row>
    <row r="2" spans="1:22" ht="27" customHeight="1" thickBot="1" x14ac:dyDescent="0.3">
      <c r="A2" s="126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8"/>
      <c r="S2" s="497"/>
    </row>
    <row r="3" spans="1:22" s="216" customFormat="1" ht="16.5" customHeight="1" x14ac:dyDescent="0.25">
      <c r="A3" s="126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167"/>
      <c r="P3" s="126"/>
      <c r="Q3" s="497"/>
      <c r="R3" s="497"/>
      <c r="S3" s="497"/>
    </row>
    <row r="4" spans="1:22" ht="27.75" x14ac:dyDescent="0.25">
      <c r="A4" s="126"/>
      <c r="B4" s="31"/>
      <c r="C4" s="505"/>
      <c r="D4" s="30"/>
      <c r="E4" s="30"/>
      <c r="F4" s="1086" t="s">
        <v>1269</v>
      </c>
      <c r="G4" s="1086"/>
      <c r="H4" s="1086"/>
      <c r="I4" s="1086"/>
      <c r="J4" s="1086"/>
      <c r="K4" s="1086"/>
      <c r="L4" s="1086"/>
      <c r="M4" s="1086"/>
      <c r="N4" s="1086"/>
      <c r="O4" s="1086"/>
      <c r="P4" s="1086"/>
      <c r="Q4" s="1086"/>
      <c r="R4" s="1087"/>
      <c r="S4" s="497"/>
    </row>
    <row r="5" spans="1:22" ht="48.75" customHeight="1" x14ac:dyDescent="0.25">
      <c r="A5" s="126"/>
      <c r="B5" s="1310" t="s">
        <v>993</v>
      </c>
      <c r="C5" s="1310"/>
      <c r="D5" s="1310"/>
      <c r="E5" s="1310"/>
      <c r="F5" s="1310"/>
      <c r="G5" s="1310"/>
      <c r="H5" s="1310"/>
      <c r="I5" s="1310"/>
      <c r="J5" s="1310"/>
      <c r="K5" s="1310"/>
      <c r="L5" s="1310"/>
      <c r="M5" s="1310"/>
      <c r="N5" s="1310"/>
      <c r="O5" s="1310"/>
      <c r="P5" s="1318" t="s">
        <v>1270</v>
      </c>
      <c r="Q5" s="1318"/>
      <c r="R5" s="1318"/>
      <c r="S5" s="497"/>
    </row>
    <row r="6" spans="1:22" ht="14.25" customHeight="1" thickBot="1" x14ac:dyDescent="0.3">
      <c r="A6" s="126"/>
      <c r="B6" s="781" t="s">
        <v>1151</v>
      </c>
      <c r="C6" s="168"/>
      <c r="D6" s="183"/>
      <c r="E6" s="183"/>
      <c r="F6" s="183"/>
      <c r="G6" s="994"/>
      <c r="H6" s="183"/>
      <c r="I6" s="183"/>
      <c r="J6" s="183"/>
      <c r="K6" s="183"/>
      <c r="L6" s="994"/>
      <c r="M6" s="994"/>
      <c r="N6" s="183"/>
      <c r="O6" s="1322" t="s">
        <v>1194</v>
      </c>
      <c r="P6" s="1319"/>
      <c r="Q6" s="1319"/>
      <c r="R6" s="1319"/>
      <c r="S6" s="497"/>
    </row>
    <row r="7" spans="1:22" ht="19.5" customHeight="1" x14ac:dyDescent="0.25">
      <c r="A7" s="126"/>
      <c r="B7" s="1320" t="s">
        <v>506</v>
      </c>
      <c r="C7" s="1311" t="s">
        <v>459</v>
      </c>
      <c r="D7" s="1312"/>
      <c r="E7" s="1315" t="s">
        <v>86</v>
      </c>
      <c r="F7" s="1316"/>
      <c r="G7" s="1316"/>
      <c r="H7" s="1316"/>
      <c r="I7" s="1316"/>
      <c r="J7" s="1316"/>
      <c r="K7" s="1316"/>
      <c r="L7" s="1316"/>
      <c r="M7" s="1317"/>
      <c r="N7" s="163"/>
      <c r="O7" s="1322"/>
      <c r="P7" s="126"/>
      <c r="Q7" s="497"/>
      <c r="R7" s="497"/>
      <c r="S7" s="497"/>
    </row>
    <row r="8" spans="1:22" ht="20.25" customHeight="1" x14ac:dyDescent="0.25">
      <c r="A8" s="126"/>
      <c r="B8" s="1321"/>
      <c r="C8" s="1313"/>
      <c r="D8" s="1314"/>
      <c r="E8" s="173" t="s">
        <v>115</v>
      </c>
      <c r="F8" s="173" t="s">
        <v>0</v>
      </c>
      <c r="G8" s="173" t="s">
        <v>254</v>
      </c>
      <c r="H8" s="173" t="s">
        <v>82</v>
      </c>
      <c r="I8" s="173" t="s">
        <v>83</v>
      </c>
      <c r="J8" s="173" t="s">
        <v>49</v>
      </c>
      <c r="K8" s="1000" t="s">
        <v>50</v>
      </c>
      <c r="L8" s="173" t="s">
        <v>1238</v>
      </c>
      <c r="M8" s="174" t="s">
        <v>1241</v>
      </c>
      <c r="N8" s="163"/>
      <c r="O8" s="1322"/>
      <c r="P8" s="126"/>
      <c r="Q8" s="497"/>
      <c r="R8" s="497"/>
      <c r="S8" s="497"/>
    </row>
    <row r="9" spans="1:22" ht="15" customHeight="1" x14ac:dyDescent="0.25">
      <c r="A9" s="126"/>
      <c r="B9" s="1300"/>
      <c r="C9" s="1307"/>
      <c r="D9" s="1301"/>
      <c r="E9" s="1298" t="str">
        <f>IF(B9="","",B9/$B$23)</f>
        <v/>
      </c>
      <c r="F9" s="156" t="str">
        <f>IF(B9="","",IF(C9="Mes_concentrés",VLOOKUP(D9,NOUVEAU!$R$22:$AA$38,3),VLOOKUP($D9,$D29:$K76,3)))</f>
        <v/>
      </c>
      <c r="G9" s="156" t="str">
        <f>IF(B9="","",IF(C9="Mes_concentrés",VLOOKUP(D9,NOUVEAU!$R$22:$AA$38,4),VLOOKUP($D9,$D29:$K76,4)))</f>
        <v/>
      </c>
      <c r="H9" s="714" t="str">
        <f>IF(B9="","",IF(C9="Mes_concentrés",VLOOKUP(D9,NOUVEAU!$R$22:$AA$38,5),VLOOKUP($D9,$D29:$K76,5)))</f>
        <v/>
      </c>
      <c r="I9" s="714" t="str">
        <f>IF(B9="","",IF(C9="Mes_concentrés",VLOOKUP(D9,NOUVEAU!$R$22:$AA$38,6),VLOOKUP($D9,$D29:$K76,6)))</f>
        <v/>
      </c>
      <c r="J9" s="713" t="str">
        <f>IF(B9="","",IF(C9="Mes_concentrés",VLOOKUP(D9,NOUVEAU!$R$22:$AA$38,7),VLOOKUP($D9,$D29:$K76,7)))</f>
        <v/>
      </c>
      <c r="K9" s="1001" t="str">
        <f>IF(B9="","",IF(C9="Mes_concentrés",VLOOKUP(D9,NOUVEAU!$R$22:$AA$38,8),VLOOKUP($D9,$D29:$K76,8)))</f>
        <v/>
      </c>
      <c r="L9" s="1001" t="str">
        <f>IF(B9="","",IF(C9="Mes_concentrés",VLOOKUP(D9,NOUVEAU!$R$22:$AC$38,9),VLOOKUP($D9,$D29:$M76,9)))</f>
        <v/>
      </c>
      <c r="M9" s="715" t="str">
        <f>IF(B9="","",IF(C9="Mes_concentrés",VLOOKUP(D9,NOUVEAU!$R$22:$AC$38,10),VLOOKUP($D9,$D29:$M76,10)))</f>
        <v/>
      </c>
      <c r="N9" s="164"/>
      <c r="O9" s="1322"/>
      <c r="P9" s="126"/>
      <c r="Q9" s="497"/>
      <c r="R9" s="497"/>
      <c r="S9" s="497"/>
    </row>
    <row r="10" spans="1:22" ht="30" customHeight="1" x14ac:dyDescent="0.25">
      <c r="A10" s="126"/>
      <c r="B10" s="1300"/>
      <c r="C10" s="1308"/>
      <c r="D10" s="1302"/>
      <c r="E10" s="1306"/>
      <c r="F10" s="176" t="str">
        <f>IF(B9="","",$E$9*F9)</f>
        <v/>
      </c>
      <c r="G10" s="176" t="str">
        <f>IF(B9="","",$E$9*G9)</f>
        <v/>
      </c>
      <c r="H10" s="177" t="str">
        <f>IF(B9="","",$E$9*H9)</f>
        <v/>
      </c>
      <c r="I10" s="177" t="str">
        <f>IF(B9="","",$E$9*I9)</f>
        <v/>
      </c>
      <c r="J10" s="175" t="str">
        <f>IF(B9="","",$E$9*J9)</f>
        <v/>
      </c>
      <c r="K10" s="1002" t="str">
        <f>IF(B9="","",$E$9*K9)</f>
        <v/>
      </c>
      <c r="L10" s="1002" t="str">
        <f>IF(B9="","",$E$9*L9)</f>
        <v/>
      </c>
      <c r="M10" s="178" t="str">
        <f>IF(B9="","",$E$9*M9)</f>
        <v/>
      </c>
      <c r="N10" s="165"/>
      <c r="O10" s="816"/>
      <c r="P10" s="126"/>
      <c r="Q10" s="497"/>
      <c r="R10" s="497"/>
      <c r="S10" s="497"/>
      <c r="V10" s="528"/>
    </row>
    <row r="11" spans="1:22" ht="15" customHeight="1" x14ac:dyDescent="0.25">
      <c r="A11" s="126"/>
      <c r="B11" s="1300"/>
      <c r="C11" s="1307"/>
      <c r="D11" s="1301"/>
      <c r="E11" s="1298" t="str">
        <f>IF(B9="","",B11/$B$23)</f>
        <v/>
      </c>
      <c r="F11" s="156" t="str">
        <f>IF(B11="","",IF(C11="Mes_concentrés",VLOOKUP(D11,NOUVEAU!$R$22:$AA$38,3),VLOOKUP($D11,$D29:$K76,3)))</f>
        <v/>
      </c>
      <c r="G11" s="156" t="str">
        <f>IF(B11="","",IF(C11="Mes_concentrés",VLOOKUP(D11,NOUVEAU!$R$22:$AA$38,4),VLOOKUP($D11,$D29:$K76,4)))</f>
        <v/>
      </c>
      <c r="H11" s="714" t="str">
        <f>IF(B11="","",IF(C11="Mes_concentrés",VLOOKUP(D11,NOUVEAU!$R$22:$AA$38,5),VLOOKUP($D11,$D29:$K76,5)))</f>
        <v/>
      </c>
      <c r="I11" s="714" t="str">
        <f>IF(B11="","",IF(C11="Mes_concentrés",VLOOKUP(D11,NOUVEAU!$R$22:$AA$38,6),VLOOKUP($D11,$D29:$K76,6)))</f>
        <v/>
      </c>
      <c r="J11" s="713" t="str">
        <f>IF(B11="","",IF(C11="Mes_concentrés",VLOOKUP(D11,NOUVEAU!$R$22:$AA$38,7),VLOOKUP($D11,$D29:$K76,7)))</f>
        <v/>
      </c>
      <c r="K11" s="1001" t="str">
        <f>IF(B11="","",IF(C11="Mes_concentrés",VLOOKUP(D11,NOUVEAU!$R$22:$AA$38,8),VLOOKUP($D11,$D29:$K76,8)))</f>
        <v/>
      </c>
      <c r="L11" s="1001" t="str">
        <f>IF(B11="","",IF(C11="Mes_concentrés",VLOOKUP(D11,NOUVEAU!$R$22:$AC$38,9),VLOOKUP($D11,$D29:$M76,9)))</f>
        <v/>
      </c>
      <c r="M11" s="715" t="str">
        <f>IF(B11="","",IF(C11="Mes_concentrés",VLOOKUP(D11,NOUVEAU!$R$22:$AC$38,10),VLOOKUP($D11,$D29:$M76,10)))</f>
        <v/>
      </c>
      <c r="N11" s="164"/>
      <c r="O11" s="480"/>
      <c r="P11" s="126"/>
      <c r="Q11" s="497"/>
      <c r="R11" s="497"/>
      <c r="S11" s="497"/>
      <c r="V11" s="528"/>
    </row>
    <row r="12" spans="1:22" ht="30" customHeight="1" x14ac:dyDescent="0.25">
      <c r="A12" s="126"/>
      <c r="B12" s="1300"/>
      <c r="C12" s="1308"/>
      <c r="D12" s="1302"/>
      <c r="E12" s="1306"/>
      <c r="F12" s="176" t="str">
        <f>IF(B11="","",E11*F11)</f>
        <v/>
      </c>
      <c r="G12" s="176" t="str">
        <f>IF(B11="","",E11*G11)</f>
        <v/>
      </c>
      <c r="H12" s="177" t="str">
        <f>IF(B11="","",E11*H11)</f>
        <v/>
      </c>
      <c r="I12" s="177" t="str">
        <f>IF(B11="","",E11*I11)</f>
        <v/>
      </c>
      <c r="J12" s="175" t="str">
        <f>IF(B11="","",E11*J11)</f>
        <v/>
      </c>
      <c r="K12" s="1002" t="str">
        <f>IF(B11="","",E11*K11)</f>
        <v/>
      </c>
      <c r="L12" s="1002" t="str">
        <f>IF(B11="","",E11*L11)</f>
        <v/>
      </c>
      <c r="M12" s="178" t="str">
        <f>IF(B11="","",$E$11*M11)</f>
        <v/>
      </c>
      <c r="N12" s="165"/>
      <c r="O12" s="816"/>
      <c r="P12" s="126"/>
      <c r="Q12" s="497"/>
      <c r="R12" s="497"/>
      <c r="S12" s="497"/>
      <c r="V12" s="528"/>
    </row>
    <row r="13" spans="1:22" ht="15" customHeight="1" x14ac:dyDescent="0.25">
      <c r="A13" s="126"/>
      <c r="B13" s="1300"/>
      <c r="C13" s="1307"/>
      <c r="D13" s="1301"/>
      <c r="E13" s="1298" t="str">
        <f>IF(B9="","",B13/$B$23)</f>
        <v/>
      </c>
      <c r="F13" s="156" t="str">
        <f>IF(B13="","",IF(C13="Mes_concentrés",VLOOKUP(D13,NOUVEAU!$R$22:$AA$38,3),VLOOKUP($D13,$D29:$K76,3)))</f>
        <v/>
      </c>
      <c r="G13" s="156" t="str">
        <f>IF(B13="","",IF(C13="Mes_concentrés",VLOOKUP(D13,NOUVEAU!$R$22:$AA$38,4),VLOOKUP($D13,$D29:$K76,4)))</f>
        <v/>
      </c>
      <c r="H13" s="714" t="str">
        <f>IF(B13="","",IF(C13="Mes_concentrés",VLOOKUP(D13,NOUVEAU!$R$22:$AA$38,5),VLOOKUP($D13,$D29:$K76,5)))</f>
        <v/>
      </c>
      <c r="I13" s="714" t="str">
        <f>IF(B13="","",IF(C13="Mes_concentrés",VLOOKUP(D13,NOUVEAU!$R$22:$AA$38,6),VLOOKUP($D13,$D29:$K76,6)))</f>
        <v/>
      </c>
      <c r="J13" s="713" t="str">
        <f>IF(B13="","",IF(C13="Mes_concentrés",VLOOKUP(D13,NOUVEAU!$R$22:$AA$38,7),VLOOKUP($D13,$D29:$K76,7)))</f>
        <v/>
      </c>
      <c r="K13" s="1001" t="str">
        <f>IF(B13="","",IF(C13="Mes_concentrés",VLOOKUP(D13,NOUVEAU!$R$22:$AA$38,8),VLOOKUP($D13,$D29:$K76,8)))</f>
        <v/>
      </c>
      <c r="L13" s="713" t="str">
        <f>IF(B13="","",IF(C13="Mes_concentrés",VLOOKUP(D13,NOUVEAU!$R$22:$AC$38,9),VLOOKUP($D13,$D29:$M76,9)))</f>
        <v/>
      </c>
      <c r="M13" s="715" t="str">
        <f>IF(B13="","",IF(C13="Mes_concentrés",VLOOKUP(D13,NOUVEAU!$R$22:$AC$38,10),VLOOKUP($D13,$D29:$M76,10)))</f>
        <v/>
      </c>
      <c r="N13" s="164"/>
      <c r="O13" s="480"/>
      <c r="P13" s="126"/>
      <c r="Q13" s="497"/>
      <c r="R13" s="497"/>
      <c r="S13" s="497"/>
      <c r="V13" s="528"/>
    </row>
    <row r="14" spans="1:22" ht="30" customHeight="1" x14ac:dyDescent="0.25">
      <c r="A14" s="126"/>
      <c r="B14" s="1300"/>
      <c r="C14" s="1308"/>
      <c r="D14" s="1302"/>
      <c r="E14" s="1306"/>
      <c r="F14" s="176" t="str">
        <f>IF(B13="","",E13*F13)</f>
        <v/>
      </c>
      <c r="G14" s="176" t="str">
        <f>IF(C13="","",E13*G13)</f>
        <v/>
      </c>
      <c r="H14" s="177" t="str">
        <f>IF(B13="","",E13*H13)</f>
        <v/>
      </c>
      <c r="I14" s="177" t="str">
        <f>IF(B13="","",E13*I13)</f>
        <v/>
      </c>
      <c r="J14" s="175" t="str">
        <f>IF(B13="","",E13*J13)</f>
        <v/>
      </c>
      <c r="K14" s="1002" t="str">
        <f>IF(B13="","",E13*K13)</f>
        <v/>
      </c>
      <c r="L14" s="1002" t="str">
        <f>IF(B13="","",E13*L13)</f>
        <v/>
      </c>
      <c r="M14" s="178" t="str">
        <f>IF(B13="","",$E$13*M13)</f>
        <v/>
      </c>
      <c r="N14" s="165"/>
      <c r="O14" s="816"/>
      <c r="P14" s="126"/>
      <c r="Q14" s="497"/>
      <c r="R14" s="497"/>
      <c r="S14" s="497"/>
      <c r="V14" s="528"/>
    </row>
    <row r="15" spans="1:22" ht="15" customHeight="1" x14ac:dyDescent="0.25">
      <c r="A15" s="126"/>
      <c r="B15" s="1300"/>
      <c r="C15" s="1307"/>
      <c r="D15" s="1301"/>
      <c r="E15" s="1298" t="str">
        <f>IF(B9="","",B15/$B$23)</f>
        <v/>
      </c>
      <c r="F15" s="156" t="str">
        <f>IF(B15="","",IF(C15="Mes_concentrés",VLOOKUP(D15,NOUVEAU!$R$22:$AA$38,3),VLOOKUP($D15,$D29:$K76,3)))</f>
        <v/>
      </c>
      <c r="G15" s="156" t="str">
        <f>IF(B15="","",IF(C15="Mes_concentrés",VLOOKUP(D15,NOUVEAU!$R$22:$AA$38,4),VLOOKUP($D15,$D29:$K76,4)))</f>
        <v/>
      </c>
      <c r="H15" s="714" t="str">
        <f>IF(B15="","",IF(C15="Mes_concentrés",VLOOKUP(D15,NOUVEAU!$R$22:$AA$38,5),VLOOKUP($D15,$D29:$K76,5)))</f>
        <v/>
      </c>
      <c r="I15" s="714" t="str">
        <f>IF(B15="","",IF(C15="Mes_concentrés",VLOOKUP(D15,NOUVEAU!$R$22:$AA$38,6),VLOOKUP($D15,$D29:$K76,6)))</f>
        <v/>
      </c>
      <c r="J15" s="713" t="str">
        <f>IF(B15="","",IF(C15="Mes_concentrés",VLOOKUP(D15,NOUVEAU!$R$22:$AA$38,7),VLOOKUP($D15,$D29:$K76,7)))</f>
        <v/>
      </c>
      <c r="K15" s="1001" t="str">
        <f>IF(B15="","",IF(C15="Mes_concentrés",VLOOKUP(D15,NOUVEAU!$R$22:$AA$38,8),VLOOKUP($D15,$D29:$K76,8)))</f>
        <v/>
      </c>
      <c r="L15" s="713" t="str">
        <f>IF(B15="","",IF(C15="Mes_concentrés",VLOOKUP(D15,NOUVEAU!$R$22:$AC$38,9),VLOOKUP($D15,$D29:$M76,9)))</f>
        <v/>
      </c>
      <c r="M15" s="715" t="str">
        <f>IF(B15="","",IF(C15="Mes_concentrés",VLOOKUP(D15,NOUVEAU!$R$22:$AC$38,10),VLOOKUP($D15,$D29:$M76,10)))</f>
        <v/>
      </c>
      <c r="N15" s="164"/>
      <c r="O15" s="480"/>
      <c r="P15" s="126"/>
      <c r="Q15" s="497"/>
      <c r="R15" s="497"/>
      <c r="S15" s="497"/>
    </row>
    <row r="16" spans="1:22" ht="30" customHeight="1" x14ac:dyDescent="0.25">
      <c r="A16" s="126"/>
      <c r="B16" s="1300"/>
      <c r="C16" s="1308"/>
      <c r="D16" s="1302"/>
      <c r="E16" s="1306"/>
      <c r="F16" s="176" t="str">
        <f>IF(B15="","",E15*F15)</f>
        <v/>
      </c>
      <c r="G16" s="176" t="str">
        <f>IF(B15="","",E15*G15)</f>
        <v/>
      </c>
      <c r="H16" s="177" t="str">
        <f>IF(B15="","",E15*H15)</f>
        <v/>
      </c>
      <c r="I16" s="177" t="str">
        <f>IF(B15="","",E15*I15)</f>
        <v/>
      </c>
      <c r="J16" s="175" t="str">
        <f>IF(B15="","",E15*J15)</f>
        <v/>
      </c>
      <c r="K16" s="1002" t="str">
        <f>IF(B15="","",E15*K15)</f>
        <v/>
      </c>
      <c r="L16" s="1002" t="str">
        <f>IF(B15="","",E15*L15)</f>
        <v/>
      </c>
      <c r="M16" s="178" t="str">
        <f>IF(B15="","",$E$15*M15)</f>
        <v/>
      </c>
      <c r="N16" s="165"/>
      <c r="O16" s="816"/>
      <c r="P16" s="126"/>
      <c r="Q16" s="497"/>
      <c r="R16" s="974"/>
      <c r="S16" s="974"/>
      <c r="U16" s="528"/>
    </row>
    <row r="17" spans="1:21" s="582" customFormat="1" ht="15" customHeight="1" x14ac:dyDescent="0.25">
      <c r="A17" s="497"/>
      <c r="B17" s="1300"/>
      <c r="C17" s="1307"/>
      <c r="D17" s="1301"/>
      <c r="E17" s="1298" t="str">
        <f>IF(B9="","",B17/$B$23)</f>
        <v/>
      </c>
      <c r="F17" s="156" t="str">
        <f>IF(B17="","",IF(C17="Mes_concentrés",VLOOKUP(D17,NOUVEAU!$R$22:$AA$38,3),VLOOKUP($D17,$D29:$K76,3)))</f>
        <v/>
      </c>
      <c r="G17" s="156" t="str">
        <f>IF(B17="","",IF(C17="Mes_concentrés",VLOOKUP(D17,NOUVEAU!$R$22:$AA$38,4),VLOOKUP($D17,$D29:$K76,4)))</f>
        <v/>
      </c>
      <c r="H17" s="714" t="str">
        <f>IF(B17="","",IF(C17="Mes_concentrés",VLOOKUP(D17,NOUVEAU!$R$22:$AA$38,5),VLOOKUP($D17,$D29:$K76,5)))</f>
        <v/>
      </c>
      <c r="I17" s="714" t="str">
        <f>IF(B17="","",IF(C17="Mes_concentrés",VLOOKUP(D17,NOUVEAU!$R$22:$AA$38,6),VLOOKUP($D17,$D29:$K76,6)))</f>
        <v/>
      </c>
      <c r="J17" s="713" t="str">
        <f>IF(B17="","",IF(C17="Mes_concentrés",VLOOKUP(D17,NOUVEAU!$R$22:$AA$38,7),VLOOKUP($D17,$D29:$K76,7)))</f>
        <v/>
      </c>
      <c r="K17" s="1001" t="str">
        <f>IF(B17="","",IF(C17="Mes_concentrés",VLOOKUP(D17,NOUVEAU!$R$22:$AA$38,8),VLOOKUP($D17,$D29:$K76,8)))</f>
        <v/>
      </c>
      <c r="L17" s="713" t="str">
        <f>IF(B17="","",IF(C17="Mes_concentrés",VLOOKUP(D17,NOUVEAU!$R$22:$AC$38,9),VLOOKUP($D17,$D29:$M76,9)))</f>
        <v/>
      </c>
      <c r="M17" s="715" t="str">
        <f>IF(B17="","",IF(C17="Mes_concentrés",VLOOKUP(D17,NOUVEAU!$R$22:$AC$38,10),VLOOKUP($D17,$D29:$M76,10)))</f>
        <v/>
      </c>
      <c r="N17" s="165"/>
      <c r="O17" s="480"/>
      <c r="P17" s="497"/>
      <c r="Q17" s="497"/>
      <c r="R17" s="974"/>
      <c r="S17" s="974"/>
      <c r="U17" s="528"/>
    </row>
    <row r="18" spans="1:21" s="582" customFormat="1" ht="30" customHeight="1" x14ac:dyDescent="0.25">
      <c r="A18" s="497"/>
      <c r="B18" s="1300"/>
      <c r="C18" s="1308"/>
      <c r="D18" s="1302"/>
      <c r="E18" s="1306"/>
      <c r="F18" s="176" t="str">
        <f>IF(B17="","",E17*F17)</f>
        <v/>
      </c>
      <c r="G18" s="176" t="str">
        <f>IF(B17="","",E17*G17)</f>
        <v/>
      </c>
      <c r="H18" s="177" t="str">
        <f>IF(B17="","",E17*H17)</f>
        <v/>
      </c>
      <c r="I18" s="177" t="str">
        <f>IF(B17="","",E17*I17)</f>
        <v/>
      </c>
      <c r="J18" s="175" t="str">
        <f>IF(B17="","",E17*J17)</f>
        <v/>
      </c>
      <c r="K18" s="1002" t="str">
        <f>IF(B17="","",E17*K17)</f>
        <v/>
      </c>
      <c r="L18" s="1002" t="str">
        <f>IF(B17="","",E17*L17)</f>
        <v/>
      </c>
      <c r="M18" s="178" t="str">
        <f>IF(B17="","",$E$17*M17)</f>
        <v/>
      </c>
      <c r="N18" s="165"/>
      <c r="O18" s="816"/>
      <c r="P18" s="497"/>
      <c r="Q18" s="497"/>
      <c r="R18" s="974"/>
      <c r="S18" s="974"/>
      <c r="U18" s="528"/>
    </row>
    <row r="19" spans="1:21" ht="15" customHeight="1" x14ac:dyDescent="0.25">
      <c r="A19" s="126"/>
      <c r="B19" s="1303"/>
      <c r="C19" s="1307"/>
      <c r="D19" s="1301"/>
      <c r="E19" s="1298" t="str">
        <f>IF(B9="","",B19/$B$23)</f>
        <v/>
      </c>
      <c r="F19" s="156" t="str">
        <f>IF(B19="","",IF(C19="Mes_concentrés",VLOOKUP(D19,NOUVEAU!$R$22:$AA$38,3),VLOOKUP($D19,$D29:$K76,3)))</f>
        <v/>
      </c>
      <c r="G19" s="156" t="str">
        <f>IF(B19="","",IF(C19="Mes_concentrés",VLOOKUP(D19,NOUVEAU!$R$22:$AA$38,4),VLOOKUP($D19,$D29:$K76,4)))</f>
        <v/>
      </c>
      <c r="H19" s="714" t="str">
        <f>IF(B19="","",IF(C19="Mes_concentrés",VLOOKUP(D19,NOUVEAU!$R$22:$AA$38,5),VLOOKUP($D19,$D29:$K76,5)))</f>
        <v/>
      </c>
      <c r="I19" s="714" t="str">
        <f>IF(B19="","",IF(C19="Mes_concentrés",VLOOKUP(D19,NOUVEAU!$R$22:$AA$38,6),VLOOKUP($D19,$D29:$K76,6)))</f>
        <v/>
      </c>
      <c r="J19" s="713" t="str">
        <f>IF(B19="","",IF(C19="Mes_concentrés",VLOOKUP(D19,NOUVEAU!$R$22:$AA$38,7),VLOOKUP($D19,$D29:$K76,7)))</f>
        <v/>
      </c>
      <c r="K19" s="1001" t="str">
        <f>IF(B19="","",IF(C19="Mes_concentrés",VLOOKUP(D19,NOUVEAU!$R$22:$AA$38,8),VLOOKUP($D19,$D29:$K76,8)))</f>
        <v/>
      </c>
      <c r="L19" s="713" t="str">
        <f>IF(B19="","",IF(C19="Mes_concentrés",VLOOKUP(D19,NOUVEAU!$R$22:$AC$38,9),VLOOKUP($D19,$D29:$M76,9)))</f>
        <v/>
      </c>
      <c r="M19" s="715" t="str">
        <f>IF(B19="","",IF(C19="Mes_concentrés",VLOOKUP(D19,NOUVEAU!$R$22:$AC$38,10),VLOOKUP($D19,$D29:$M76,10)))</f>
        <v/>
      </c>
      <c r="N19" s="164"/>
      <c r="O19" s="480"/>
      <c r="P19" s="126"/>
      <c r="Q19" s="497"/>
      <c r="R19" s="497"/>
      <c r="S19" s="497"/>
    </row>
    <row r="20" spans="1:21" ht="30" customHeight="1" thickBot="1" x14ac:dyDescent="0.3">
      <c r="A20" s="126"/>
      <c r="B20" s="1304"/>
      <c r="C20" s="1309"/>
      <c r="D20" s="1305"/>
      <c r="E20" s="1299"/>
      <c r="F20" s="180" t="str">
        <f>IF(B19="","",E19*F19)</f>
        <v/>
      </c>
      <c r="G20" s="180" t="str">
        <f>IF(B19="","",E19*G19)</f>
        <v/>
      </c>
      <c r="H20" s="181" t="str">
        <f>IF(B19="","",E19*H19)</f>
        <v/>
      </c>
      <c r="I20" s="181" t="str">
        <f>IF(B19="","",E19*I19)</f>
        <v/>
      </c>
      <c r="J20" s="179" t="str">
        <f>IF(B19="","",E19*J19)</f>
        <v/>
      </c>
      <c r="K20" s="1003" t="str">
        <f>IF(B19="","",E19*K19)</f>
        <v/>
      </c>
      <c r="L20" s="1003" t="str">
        <f>IF(B19="","",E19*L19)</f>
        <v/>
      </c>
      <c r="M20" s="182" t="str">
        <f>IF(B19="","",$E$19*M19)</f>
        <v/>
      </c>
      <c r="N20" s="165"/>
      <c r="O20" s="816"/>
      <c r="P20" s="126"/>
      <c r="Q20" s="497"/>
      <c r="R20" s="497"/>
      <c r="S20" s="497"/>
    </row>
    <row r="21" spans="1:21" ht="9" customHeight="1" x14ac:dyDescent="0.25">
      <c r="A21" s="126"/>
      <c r="B21" s="168"/>
      <c r="C21" s="168"/>
      <c r="D21" s="126"/>
      <c r="E21" s="126"/>
      <c r="F21" s="1294" t="e">
        <f>CONCATENATE(ROUND(H23/F23,0)," PDI / UFL")</f>
        <v>#VALUE!</v>
      </c>
      <c r="G21" s="1294"/>
      <c r="H21" s="126"/>
      <c r="I21" s="126"/>
      <c r="J21" s="1296" t="e">
        <f>CONCATENATE("Ca / P = ",ROUND(K23/J23,1))</f>
        <v>#VALUE!</v>
      </c>
      <c r="K21" s="1296"/>
      <c r="L21" s="497"/>
      <c r="M21" s="497"/>
      <c r="N21" s="123"/>
      <c r="O21" s="481"/>
      <c r="P21" s="126"/>
      <c r="Q21" s="497"/>
      <c r="R21" s="497"/>
      <c r="S21" s="497"/>
    </row>
    <row r="22" spans="1:21" ht="15" customHeight="1" thickBot="1" x14ac:dyDescent="0.3">
      <c r="A22" s="126"/>
      <c r="B22" s="168"/>
      <c r="C22" s="168"/>
      <c r="D22" s="126"/>
      <c r="E22" s="126"/>
      <c r="F22" s="1295"/>
      <c r="G22" s="1295"/>
      <c r="H22" s="126"/>
      <c r="I22" s="126"/>
      <c r="J22" s="1297"/>
      <c r="K22" s="1297"/>
      <c r="L22" s="497"/>
      <c r="M22" s="497"/>
      <c r="N22" s="123"/>
      <c r="O22" s="482" t="s">
        <v>533</v>
      </c>
      <c r="P22" s="126"/>
      <c r="Q22" s="497"/>
      <c r="R22" s="497"/>
      <c r="S22" s="497"/>
    </row>
    <row r="23" spans="1:21" ht="30" customHeight="1" thickBot="1" x14ac:dyDescent="0.3">
      <c r="A23" s="126"/>
      <c r="B23" s="818">
        <f>SUM(B9:B20)</f>
        <v>0</v>
      </c>
      <c r="C23" s="817" t="s">
        <v>80</v>
      </c>
      <c r="D23" s="169" t="s">
        <v>116</v>
      </c>
      <c r="E23" s="256" t="str">
        <f>IF(B9="","",SUM(E9:E20))</f>
        <v/>
      </c>
      <c r="F23" s="171" t="str">
        <f t="shared" ref="F23:K23" si="0">IF(F10="","",SUM(F10,F12,F14,F16,F18,F20))</f>
        <v/>
      </c>
      <c r="G23" s="171" t="str">
        <f t="shared" si="0"/>
        <v/>
      </c>
      <c r="H23" s="170" t="str">
        <f t="shared" si="0"/>
        <v/>
      </c>
      <c r="I23" s="170" t="str">
        <f t="shared" si="0"/>
        <v/>
      </c>
      <c r="J23" s="172" t="str">
        <f t="shared" si="0"/>
        <v/>
      </c>
      <c r="K23" s="172" t="str">
        <f t="shared" si="0"/>
        <v/>
      </c>
      <c r="L23" s="172" t="str">
        <f t="shared" ref="L23:M23" si="1">IF(L10="","",SUM(L10,L12,L14,L16,L18,L20))</f>
        <v/>
      </c>
      <c r="M23" s="172" t="str">
        <f t="shared" si="1"/>
        <v/>
      </c>
      <c r="N23" s="166"/>
      <c r="O23" s="983" t="str">
        <f>IF(B9="","",((O10*B9)+(O12*B11)+(O14*B13)+(O16*B15)+(O18*B17)+(O20*B19))/(B23*1000))</f>
        <v/>
      </c>
      <c r="P23" s="126"/>
      <c r="Q23" s="497"/>
      <c r="R23" s="497"/>
      <c r="S23" s="497"/>
    </row>
    <row r="24" spans="1:21" x14ac:dyDescent="0.25">
      <c r="A24" s="126"/>
      <c r="B24" s="126"/>
      <c r="C24" s="497"/>
      <c r="D24" s="168" t="s">
        <v>117</v>
      </c>
      <c r="E24" s="126"/>
      <c r="F24" s="126"/>
      <c r="G24" s="497"/>
      <c r="H24" s="126"/>
      <c r="I24" s="126"/>
      <c r="J24" s="126"/>
      <c r="K24" s="126"/>
      <c r="L24" s="497"/>
      <c r="M24" s="497"/>
      <c r="N24" s="123"/>
      <c r="O24" s="126"/>
      <c r="P24" s="126"/>
      <c r="Q24" s="497"/>
      <c r="R24" s="497"/>
      <c r="S24" s="497"/>
    </row>
    <row r="25" spans="1:21" x14ac:dyDescent="0.25">
      <c r="A25" s="126"/>
      <c r="B25" s="126"/>
      <c r="C25" s="497"/>
      <c r="D25" s="126"/>
      <c r="E25" s="126"/>
      <c r="F25" s="126"/>
      <c r="G25" s="497"/>
      <c r="H25" s="126"/>
      <c r="I25" s="126"/>
      <c r="J25" s="126"/>
      <c r="K25" s="126"/>
      <c r="L25" s="497"/>
      <c r="M25" s="497"/>
      <c r="N25" s="123"/>
      <c r="O25" s="126"/>
      <c r="P25" s="126"/>
      <c r="Q25" s="497"/>
      <c r="R25" s="497"/>
      <c r="S25" s="497"/>
    </row>
    <row r="26" spans="1:21" x14ac:dyDescent="0.25">
      <c r="A26" s="125"/>
    </row>
    <row r="27" spans="1:21" hidden="1" outlineLevel="1" x14ac:dyDescent="0.25">
      <c r="A27" s="157"/>
      <c r="B27" s="157"/>
      <c r="C27" s="157"/>
      <c r="D27" s="158"/>
      <c r="E27" s="157"/>
      <c r="F27" s="157"/>
      <c r="G27" s="157"/>
      <c r="H27" s="157"/>
      <c r="I27" s="157"/>
      <c r="J27" s="157"/>
      <c r="K27" s="157"/>
      <c r="L27" s="157"/>
      <c r="M27" s="157"/>
      <c r="N27" s="159"/>
      <c r="O27" s="157"/>
      <c r="P27" s="157"/>
    </row>
    <row r="28" spans="1:21" ht="18" hidden="1" outlineLevel="1" x14ac:dyDescent="0.35">
      <c r="A28" s="157"/>
      <c r="B28" s="157"/>
      <c r="C28" s="157"/>
      <c r="D28" s="218" t="s">
        <v>1</v>
      </c>
      <c r="E28" s="217" t="s">
        <v>70</v>
      </c>
      <c r="F28" s="13" t="s">
        <v>48</v>
      </c>
      <c r="G28" s="13" t="s">
        <v>538</v>
      </c>
      <c r="H28" s="13" t="s">
        <v>42</v>
      </c>
      <c r="I28" s="13" t="s">
        <v>43</v>
      </c>
      <c r="J28" s="13" t="s">
        <v>71</v>
      </c>
      <c r="K28" s="13" t="s">
        <v>72</v>
      </c>
      <c r="L28" s="13" t="s">
        <v>1238</v>
      </c>
      <c r="M28" s="13" t="s">
        <v>1241</v>
      </c>
      <c r="N28" s="159"/>
      <c r="O28" s="157"/>
      <c r="P28" s="157"/>
    </row>
    <row r="29" spans="1:21" hidden="1" outlineLevel="1" x14ac:dyDescent="0.25">
      <c r="A29" s="157"/>
      <c r="B29" s="157"/>
      <c r="C29" s="157"/>
      <c r="D29" s="383" t="s">
        <v>58</v>
      </c>
      <c r="E29" s="383"/>
      <c r="F29" s="196">
        <v>0.77</v>
      </c>
      <c r="G29" s="196">
        <v>0.71</v>
      </c>
      <c r="H29" s="383">
        <v>61</v>
      </c>
      <c r="I29" s="383">
        <v>61</v>
      </c>
      <c r="J29" s="197">
        <v>2.7</v>
      </c>
      <c r="K29" s="197">
        <v>0.7</v>
      </c>
      <c r="L29" s="202">
        <v>11.1</v>
      </c>
      <c r="M29" s="221">
        <v>13.8</v>
      </c>
      <c r="N29" s="160"/>
      <c r="O29" s="157"/>
      <c r="P29" s="157"/>
      <c r="Q29" s="383" t="s">
        <v>58</v>
      </c>
    </row>
    <row r="30" spans="1:21" hidden="1" outlineLevel="1" x14ac:dyDescent="0.25">
      <c r="A30" s="157"/>
      <c r="B30" s="157"/>
      <c r="C30" s="157"/>
      <c r="D30" s="383" t="s">
        <v>441</v>
      </c>
      <c r="E30" s="383"/>
      <c r="F30" s="383">
        <v>0</v>
      </c>
      <c r="G30" s="383">
        <v>0</v>
      </c>
      <c r="H30" s="383">
        <v>0</v>
      </c>
      <c r="I30" s="383">
        <v>0</v>
      </c>
      <c r="J30" s="383">
        <v>0</v>
      </c>
      <c r="K30" s="383">
        <v>0</v>
      </c>
      <c r="L30" s="202">
        <v>0</v>
      </c>
      <c r="M30" s="221">
        <v>0</v>
      </c>
      <c r="N30" s="160"/>
      <c r="O30" s="157"/>
      <c r="P30" s="157"/>
      <c r="Q30" s="383" t="s">
        <v>51</v>
      </c>
    </row>
    <row r="31" spans="1:21" hidden="1" outlineLevel="1" x14ac:dyDescent="0.25">
      <c r="A31" s="157"/>
      <c r="B31" s="157" t="s">
        <v>40</v>
      </c>
      <c r="C31" s="157"/>
      <c r="D31" s="218" t="s">
        <v>51</v>
      </c>
      <c r="E31" s="218"/>
      <c r="F31" s="196">
        <v>1.02</v>
      </c>
      <c r="G31" s="196">
        <v>1.02</v>
      </c>
      <c r="H31" s="218">
        <v>70</v>
      </c>
      <c r="I31" s="218">
        <v>89</v>
      </c>
      <c r="J31" s="197">
        <v>2.6</v>
      </c>
      <c r="K31" s="197">
        <v>0.4</v>
      </c>
      <c r="L31" s="202">
        <v>12.1</v>
      </c>
      <c r="M31" s="221">
        <v>2.6</v>
      </c>
      <c r="N31" s="161"/>
      <c r="O31" s="157"/>
      <c r="P31" s="157"/>
      <c r="Q31" s="383" t="s">
        <v>68</v>
      </c>
    </row>
    <row r="32" spans="1:21" hidden="1" outlineLevel="1" x14ac:dyDescent="0.25">
      <c r="A32" s="157"/>
      <c r="B32" s="157" t="s">
        <v>57</v>
      </c>
      <c r="C32" s="157"/>
      <c r="D32" s="383" t="s">
        <v>435</v>
      </c>
      <c r="E32" s="218"/>
      <c r="F32" s="238">
        <v>0</v>
      </c>
      <c r="G32" s="238">
        <v>0</v>
      </c>
      <c r="H32" s="238">
        <v>0</v>
      </c>
      <c r="I32" s="238">
        <v>0</v>
      </c>
      <c r="J32" s="383">
        <v>0</v>
      </c>
      <c r="K32" s="383">
        <v>150</v>
      </c>
      <c r="L32" s="202">
        <v>0</v>
      </c>
      <c r="M32" s="221">
        <v>0</v>
      </c>
      <c r="N32" s="160"/>
      <c r="O32" s="157"/>
      <c r="P32" s="157"/>
      <c r="Q32" s="383" t="s">
        <v>54</v>
      </c>
    </row>
    <row r="33" spans="1:17" hidden="1" outlineLevel="1" x14ac:dyDescent="0.25">
      <c r="A33" s="157"/>
      <c r="B33" s="157" t="s">
        <v>905</v>
      </c>
      <c r="C33" s="157"/>
      <c r="D33" s="235" t="s">
        <v>1156</v>
      </c>
      <c r="E33" s="226"/>
      <c r="F33" s="238">
        <v>0</v>
      </c>
      <c r="G33" s="238">
        <v>0</v>
      </c>
      <c r="H33" s="238">
        <v>0</v>
      </c>
      <c r="I33" s="238">
        <v>0</v>
      </c>
      <c r="J33" s="383">
        <v>0</v>
      </c>
      <c r="K33" s="383">
        <v>108</v>
      </c>
      <c r="L33" s="202">
        <v>0</v>
      </c>
      <c r="M33" s="221">
        <v>0</v>
      </c>
      <c r="N33" s="160"/>
      <c r="O33" s="157"/>
      <c r="P33" s="157"/>
      <c r="Q33" s="383" t="s">
        <v>69</v>
      </c>
    </row>
    <row r="34" spans="1:17" hidden="1" outlineLevel="1" x14ac:dyDescent="0.25">
      <c r="A34" s="157"/>
      <c r="B34" s="157" t="s">
        <v>65</v>
      </c>
      <c r="C34" s="157"/>
      <c r="D34" s="239" t="s">
        <v>443</v>
      </c>
      <c r="E34" s="217"/>
      <c r="F34" s="240">
        <v>0</v>
      </c>
      <c r="G34" s="240">
        <v>0</v>
      </c>
      <c r="H34" s="240">
        <v>0</v>
      </c>
      <c r="I34" s="240">
        <v>0</v>
      </c>
      <c r="J34" s="239">
        <v>65</v>
      </c>
      <c r="K34" s="239">
        <v>80</v>
      </c>
      <c r="L34" s="202">
        <v>0</v>
      </c>
      <c r="M34" s="221">
        <v>0</v>
      </c>
      <c r="N34" s="160"/>
      <c r="O34" s="157"/>
      <c r="P34" s="157"/>
      <c r="Q34" s="383" t="s">
        <v>66</v>
      </c>
    </row>
    <row r="35" spans="1:17" hidden="1" outlineLevel="1" x14ac:dyDescent="0.25">
      <c r="A35" s="157"/>
      <c r="B35" s="157" t="s">
        <v>906</v>
      </c>
      <c r="C35" s="157"/>
      <c r="D35" s="235" t="s">
        <v>444</v>
      </c>
      <c r="E35" s="217"/>
      <c r="F35" s="238">
        <v>0</v>
      </c>
      <c r="G35" s="238">
        <v>0</v>
      </c>
      <c r="H35" s="238">
        <v>0</v>
      </c>
      <c r="I35" s="238">
        <v>0</v>
      </c>
      <c r="J35" s="218">
        <v>65</v>
      </c>
      <c r="K35" s="218">
        <v>24</v>
      </c>
      <c r="L35" s="202">
        <v>0</v>
      </c>
      <c r="M35" s="221">
        <v>0</v>
      </c>
      <c r="N35" s="160"/>
      <c r="O35" s="157"/>
      <c r="P35" s="157"/>
      <c r="Q35" s="383" t="s">
        <v>243</v>
      </c>
    </row>
    <row r="36" spans="1:17" hidden="1" outlineLevel="1" x14ac:dyDescent="0.25">
      <c r="A36" s="157"/>
      <c r="B36" s="157" t="s">
        <v>912</v>
      </c>
      <c r="C36" s="157"/>
      <c r="D36" s="241" t="s">
        <v>445</v>
      </c>
      <c r="E36" s="217"/>
      <c r="F36" s="242">
        <v>0</v>
      </c>
      <c r="G36" s="242">
        <v>0</v>
      </c>
      <c r="H36" s="242">
        <v>0</v>
      </c>
      <c r="I36" s="242">
        <v>0</v>
      </c>
      <c r="J36" s="241">
        <v>78</v>
      </c>
      <c r="K36" s="241">
        <v>48</v>
      </c>
      <c r="L36" s="202">
        <v>0</v>
      </c>
      <c r="M36" s="221">
        <v>0</v>
      </c>
      <c r="N36" s="160"/>
      <c r="O36" s="157"/>
      <c r="P36" s="157"/>
      <c r="Q36" s="383" t="s">
        <v>62</v>
      </c>
    </row>
    <row r="37" spans="1:17" hidden="1" outlineLevel="1" x14ac:dyDescent="0.25">
      <c r="A37" s="157"/>
      <c r="B37" s="157" t="s">
        <v>1285</v>
      </c>
      <c r="C37" s="157"/>
      <c r="D37" s="383" t="s">
        <v>445</v>
      </c>
      <c r="E37" s="217"/>
      <c r="F37" s="238">
        <v>0</v>
      </c>
      <c r="G37" s="238">
        <v>0</v>
      </c>
      <c r="H37" s="238">
        <v>0</v>
      </c>
      <c r="I37" s="238">
        <v>0</v>
      </c>
      <c r="J37" s="218">
        <v>78</v>
      </c>
      <c r="K37" s="218">
        <v>48</v>
      </c>
      <c r="L37" s="202">
        <v>0</v>
      </c>
      <c r="M37" s="221">
        <v>0</v>
      </c>
      <c r="N37" s="160"/>
      <c r="O37" s="157"/>
      <c r="P37" s="157"/>
    </row>
    <row r="38" spans="1:17" hidden="1" outlineLevel="1" x14ac:dyDescent="0.25">
      <c r="A38" s="157"/>
      <c r="B38" s="157"/>
      <c r="C38" s="157"/>
      <c r="D38" s="285" t="s">
        <v>1154</v>
      </c>
      <c r="E38" s="226"/>
      <c r="F38" s="238">
        <v>0</v>
      </c>
      <c r="G38" s="238">
        <v>0</v>
      </c>
      <c r="H38" s="238">
        <v>0</v>
      </c>
      <c r="I38" s="238">
        <v>0</v>
      </c>
      <c r="J38" s="238">
        <v>13</v>
      </c>
      <c r="K38" s="238">
        <v>112</v>
      </c>
      <c r="L38" s="202">
        <v>0</v>
      </c>
      <c r="M38" s="221">
        <v>0</v>
      </c>
      <c r="N38" s="160"/>
      <c r="O38" s="157"/>
      <c r="P38" s="157"/>
      <c r="Q38" s="221" t="s">
        <v>890</v>
      </c>
    </row>
    <row r="39" spans="1:17" hidden="1" outlineLevel="1" x14ac:dyDescent="0.25">
      <c r="A39" s="157"/>
      <c r="B39" s="157"/>
      <c r="C39" s="157"/>
      <c r="D39" s="285" t="s">
        <v>1155</v>
      </c>
      <c r="E39" s="226"/>
      <c r="F39" s="238">
        <v>0</v>
      </c>
      <c r="G39" s="238">
        <v>0</v>
      </c>
      <c r="H39" s="238">
        <v>0</v>
      </c>
      <c r="I39" s="238">
        <v>0</v>
      </c>
      <c r="J39" s="238">
        <v>20</v>
      </c>
      <c r="K39" s="238">
        <v>108</v>
      </c>
      <c r="L39" s="202">
        <v>0</v>
      </c>
      <c r="M39" s="221">
        <v>0</v>
      </c>
      <c r="N39" s="160"/>
      <c r="O39" s="157"/>
      <c r="P39" s="157"/>
      <c r="Q39" s="221" t="s">
        <v>897</v>
      </c>
    </row>
    <row r="40" spans="1:17" hidden="1" outlineLevel="1" x14ac:dyDescent="0.25">
      <c r="A40" s="157"/>
      <c r="B40" s="157"/>
      <c r="C40" s="157"/>
      <c r="D40" s="236" t="s">
        <v>446</v>
      </c>
      <c r="E40" s="218"/>
      <c r="F40" s="238">
        <v>0</v>
      </c>
      <c r="G40" s="238">
        <v>0</v>
      </c>
      <c r="H40" s="238">
        <v>0</v>
      </c>
      <c r="I40" s="238">
        <v>0</v>
      </c>
      <c r="J40" s="218">
        <v>26</v>
      </c>
      <c r="K40" s="218">
        <v>84</v>
      </c>
      <c r="L40" s="202">
        <v>0</v>
      </c>
      <c r="M40" s="221">
        <v>0</v>
      </c>
      <c r="N40" s="160"/>
      <c r="O40" s="157"/>
      <c r="P40" s="157"/>
      <c r="Q40" s="221" t="s">
        <v>900</v>
      </c>
    </row>
    <row r="41" spans="1:17" hidden="1" outlineLevel="1" x14ac:dyDescent="0.25">
      <c r="A41" s="157"/>
      <c r="B41" s="157"/>
      <c r="C41" s="157"/>
      <c r="D41" s="237" t="s">
        <v>447</v>
      </c>
      <c r="E41" s="218"/>
      <c r="F41" s="238">
        <v>0</v>
      </c>
      <c r="G41" s="238">
        <v>0</v>
      </c>
      <c r="H41" s="238">
        <v>0</v>
      </c>
      <c r="I41" s="238">
        <v>0</v>
      </c>
      <c r="J41" s="218">
        <v>32</v>
      </c>
      <c r="K41" s="218">
        <v>80</v>
      </c>
      <c r="L41" s="202">
        <v>0</v>
      </c>
      <c r="M41" s="221">
        <v>0</v>
      </c>
      <c r="N41" s="160"/>
      <c r="O41" s="157"/>
      <c r="P41" s="157"/>
      <c r="Q41" s="221" t="s">
        <v>898</v>
      </c>
    </row>
    <row r="42" spans="1:17" hidden="1" outlineLevel="1" x14ac:dyDescent="0.25">
      <c r="A42" s="157"/>
      <c r="B42" s="157"/>
      <c r="C42" s="157"/>
      <c r="D42" s="237" t="s">
        <v>448</v>
      </c>
      <c r="E42" s="218"/>
      <c r="F42" s="238">
        <v>0</v>
      </c>
      <c r="G42" s="238">
        <v>0</v>
      </c>
      <c r="H42" s="238">
        <v>0</v>
      </c>
      <c r="I42" s="238">
        <v>0</v>
      </c>
      <c r="J42" s="218">
        <v>32</v>
      </c>
      <c r="K42" s="218">
        <v>100</v>
      </c>
      <c r="L42" s="202">
        <v>0</v>
      </c>
      <c r="M42" s="221">
        <v>0</v>
      </c>
      <c r="N42" s="160"/>
      <c r="O42" s="157"/>
      <c r="P42" s="157"/>
      <c r="Q42" s="221" t="s">
        <v>901</v>
      </c>
    </row>
    <row r="43" spans="1:17" hidden="1" outlineLevel="1" x14ac:dyDescent="0.25">
      <c r="A43" s="157"/>
      <c r="B43" s="157"/>
      <c r="C43" s="157"/>
      <c r="D43" s="235" t="s">
        <v>449</v>
      </c>
      <c r="E43" s="218"/>
      <c r="F43" s="238">
        <v>0</v>
      </c>
      <c r="G43" s="238">
        <v>0</v>
      </c>
      <c r="H43" s="238">
        <v>0</v>
      </c>
      <c r="I43" s="238">
        <v>0</v>
      </c>
      <c r="J43" s="218">
        <v>39</v>
      </c>
      <c r="K43" s="218">
        <v>24</v>
      </c>
      <c r="L43" s="202">
        <v>0</v>
      </c>
      <c r="M43" s="221">
        <v>0</v>
      </c>
      <c r="N43" s="160"/>
      <c r="O43" s="157"/>
      <c r="P43" s="157"/>
      <c r="Q43" s="221" t="s">
        <v>899</v>
      </c>
    </row>
    <row r="44" spans="1:17" hidden="1" outlineLevel="1" x14ac:dyDescent="0.25">
      <c r="A44" s="157"/>
      <c r="B44" s="157"/>
      <c r="C44" s="157"/>
      <c r="D44" s="383" t="s">
        <v>450</v>
      </c>
      <c r="E44" s="218"/>
      <c r="F44" s="238">
        <v>0</v>
      </c>
      <c r="G44" s="238">
        <v>0</v>
      </c>
      <c r="H44" s="238">
        <v>0</v>
      </c>
      <c r="I44" s="238">
        <v>0</v>
      </c>
      <c r="J44" s="218">
        <v>15</v>
      </c>
      <c r="K44" s="218">
        <v>84</v>
      </c>
      <c r="L44" s="202">
        <v>0</v>
      </c>
      <c r="M44" s="221">
        <v>0</v>
      </c>
      <c r="N44" s="160"/>
      <c r="O44" s="157"/>
      <c r="P44" s="157"/>
    </row>
    <row r="45" spans="1:17" hidden="1" outlineLevel="1" x14ac:dyDescent="0.25">
      <c r="A45" s="157"/>
      <c r="B45" s="157"/>
      <c r="C45" s="157"/>
      <c r="D45" s="383" t="s">
        <v>451</v>
      </c>
      <c r="E45" s="218"/>
      <c r="F45" s="238">
        <v>0</v>
      </c>
      <c r="G45" s="238">
        <v>0</v>
      </c>
      <c r="H45" s="238">
        <v>0</v>
      </c>
      <c r="I45" s="238">
        <v>0</v>
      </c>
      <c r="J45" s="218">
        <v>52</v>
      </c>
      <c r="K45" s="218">
        <v>48</v>
      </c>
      <c r="L45" s="202">
        <v>0</v>
      </c>
      <c r="M45" s="221">
        <v>0</v>
      </c>
      <c r="N45" s="162"/>
      <c r="O45" s="157"/>
      <c r="P45" s="157"/>
      <c r="Q45" s="383" t="s">
        <v>60</v>
      </c>
    </row>
    <row r="46" spans="1:17" hidden="1" outlineLevel="1" x14ac:dyDescent="0.25">
      <c r="A46" s="157"/>
      <c r="B46" s="157"/>
      <c r="C46" s="157"/>
      <c r="D46" s="235" t="s">
        <v>452</v>
      </c>
      <c r="E46" s="218"/>
      <c r="F46" s="238">
        <v>0</v>
      </c>
      <c r="G46" s="238">
        <v>0</v>
      </c>
      <c r="H46" s="238">
        <v>0</v>
      </c>
      <c r="I46" s="238">
        <v>0</v>
      </c>
      <c r="J46" s="218">
        <v>52</v>
      </c>
      <c r="K46" s="218">
        <v>64</v>
      </c>
      <c r="L46" s="202">
        <v>0</v>
      </c>
      <c r="M46" s="221">
        <v>0</v>
      </c>
      <c r="N46" s="160"/>
      <c r="O46" s="157"/>
      <c r="P46" s="157"/>
      <c r="Q46" s="383" t="s">
        <v>907</v>
      </c>
    </row>
    <row r="47" spans="1:17" hidden="1" outlineLevel="1" x14ac:dyDescent="0.25">
      <c r="A47" s="157"/>
      <c r="B47" s="157"/>
      <c r="C47" s="157"/>
      <c r="D47" s="235" t="s">
        <v>453</v>
      </c>
      <c r="E47" s="218"/>
      <c r="F47" s="238">
        <v>0</v>
      </c>
      <c r="G47" s="238">
        <v>0</v>
      </c>
      <c r="H47" s="238">
        <v>0</v>
      </c>
      <c r="I47" s="238">
        <v>0</v>
      </c>
      <c r="J47" s="383">
        <v>52</v>
      </c>
      <c r="K47" s="383">
        <v>96</v>
      </c>
      <c r="L47" s="202">
        <v>0</v>
      </c>
      <c r="M47" s="221">
        <v>0</v>
      </c>
      <c r="N47" s="160"/>
      <c r="O47" s="157"/>
      <c r="P47" s="157"/>
      <c r="Q47" s="383" t="s">
        <v>910</v>
      </c>
    </row>
    <row r="48" spans="1:17" hidden="1" outlineLevel="1" x14ac:dyDescent="0.25">
      <c r="A48" s="157"/>
      <c r="B48" s="157"/>
      <c r="C48" s="157"/>
      <c r="D48" s="218" t="s">
        <v>454</v>
      </c>
      <c r="E48" s="218"/>
      <c r="F48" s="238">
        <v>0</v>
      </c>
      <c r="G48" s="238">
        <v>0</v>
      </c>
      <c r="H48" s="238">
        <v>0</v>
      </c>
      <c r="I48" s="238">
        <v>0</v>
      </c>
      <c r="J48" s="383">
        <v>58</v>
      </c>
      <c r="K48" s="383">
        <v>56</v>
      </c>
      <c r="L48" s="202">
        <v>0</v>
      </c>
      <c r="M48" s="221">
        <v>0</v>
      </c>
      <c r="N48" s="160"/>
      <c r="O48" s="157"/>
      <c r="P48" s="157"/>
      <c r="Q48" s="383" t="s">
        <v>909</v>
      </c>
    </row>
    <row r="49" spans="1:17" hidden="1" outlineLevel="1" x14ac:dyDescent="0.25">
      <c r="A49" s="157"/>
      <c r="B49" s="157"/>
      <c r="C49" s="157"/>
      <c r="D49" s="383" t="s">
        <v>903</v>
      </c>
      <c r="E49" s="383"/>
      <c r="F49" s="196">
        <v>0.76</v>
      </c>
      <c r="G49" s="1005">
        <v>0.68</v>
      </c>
      <c r="H49" s="383">
        <v>178</v>
      </c>
      <c r="I49" s="383">
        <v>157</v>
      </c>
      <c r="J49" s="197">
        <v>4.9000000000000004</v>
      </c>
      <c r="K49" s="197">
        <v>1.3</v>
      </c>
      <c r="L49" s="1006">
        <v>31</v>
      </c>
      <c r="M49" s="1007">
        <v>6</v>
      </c>
      <c r="N49" s="160"/>
      <c r="O49" s="157"/>
      <c r="P49" s="157"/>
      <c r="Q49" s="383" t="s">
        <v>908</v>
      </c>
    </row>
    <row r="50" spans="1:17" hidden="1" outlineLevel="1" x14ac:dyDescent="0.25">
      <c r="A50" s="157"/>
      <c r="B50" s="157"/>
      <c r="C50" s="157"/>
      <c r="D50" s="285" t="s">
        <v>904</v>
      </c>
      <c r="E50" s="226"/>
      <c r="F50" s="238">
        <v>0.75</v>
      </c>
      <c r="G50" s="196">
        <v>0.67</v>
      </c>
      <c r="H50" s="238">
        <v>180</v>
      </c>
      <c r="I50" s="238">
        <v>160</v>
      </c>
      <c r="J50" s="985">
        <v>5</v>
      </c>
      <c r="K50" s="985">
        <v>1</v>
      </c>
      <c r="L50" s="202">
        <v>31.6</v>
      </c>
      <c r="M50" s="221">
        <v>6.1</v>
      </c>
      <c r="N50" s="160"/>
      <c r="O50" s="157"/>
      <c r="P50" s="157"/>
      <c r="Q50" s="383" t="s">
        <v>911</v>
      </c>
    </row>
    <row r="51" spans="1:17" hidden="1" outlineLevel="1" x14ac:dyDescent="0.25">
      <c r="A51" s="157"/>
      <c r="B51" s="157"/>
      <c r="C51" s="157"/>
      <c r="D51" s="218" t="s">
        <v>60</v>
      </c>
      <c r="E51" s="218"/>
      <c r="F51" s="196">
        <v>1.03</v>
      </c>
      <c r="G51" s="196">
        <v>1.03</v>
      </c>
      <c r="H51" s="218">
        <v>170</v>
      </c>
      <c r="I51" s="218">
        <v>97</v>
      </c>
      <c r="J51" s="197">
        <v>4.0999999999999996</v>
      </c>
      <c r="K51" s="197">
        <v>0.9</v>
      </c>
      <c r="L51" s="202">
        <v>31.1</v>
      </c>
      <c r="M51" s="221">
        <v>9.6</v>
      </c>
      <c r="N51" s="160"/>
      <c r="O51" s="157"/>
      <c r="P51" s="157"/>
      <c r="Q51" s="383" t="s">
        <v>56</v>
      </c>
    </row>
    <row r="52" spans="1:17" hidden="1" outlineLevel="1" x14ac:dyDescent="0.25">
      <c r="A52" s="157"/>
      <c r="B52" s="157"/>
      <c r="C52" s="157"/>
      <c r="D52" s="1051" t="s">
        <v>1287</v>
      </c>
      <c r="E52" s="218"/>
      <c r="F52" s="1052">
        <v>0.6</v>
      </c>
      <c r="G52" s="1052">
        <v>0.5</v>
      </c>
      <c r="H52" s="1052">
        <v>55</v>
      </c>
      <c r="I52" s="1052">
        <v>65</v>
      </c>
      <c r="J52" s="1052">
        <v>2</v>
      </c>
      <c r="K52" s="1052">
        <v>1.5</v>
      </c>
      <c r="L52" s="1052">
        <v>10</v>
      </c>
      <c r="M52" s="1052">
        <v>33</v>
      </c>
      <c r="N52" s="162"/>
      <c r="O52" s="157"/>
      <c r="P52" s="157"/>
      <c r="Q52" s="383" t="s">
        <v>53</v>
      </c>
    </row>
    <row r="53" spans="1:17" hidden="1" outlineLevel="1" x14ac:dyDescent="0.25">
      <c r="A53" s="157"/>
      <c r="B53" s="157"/>
      <c r="C53" s="157"/>
      <c r="D53" s="218" t="s">
        <v>907</v>
      </c>
      <c r="E53" s="218"/>
      <c r="F53" s="196">
        <v>1.68</v>
      </c>
      <c r="G53" s="196">
        <v>1.68</v>
      </c>
      <c r="H53" s="218">
        <v>12</v>
      </c>
      <c r="I53" s="218">
        <v>61</v>
      </c>
      <c r="J53" s="197">
        <v>5.3</v>
      </c>
      <c r="K53" s="197">
        <v>2.8</v>
      </c>
      <c r="L53" s="202">
        <v>20.7</v>
      </c>
      <c r="M53" s="221">
        <v>8.9</v>
      </c>
      <c r="N53" s="159"/>
      <c r="O53" s="157"/>
      <c r="P53" s="157"/>
      <c r="Q53" s="383" t="s">
        <v>64</v>
      </c>
    </row>
    <row r="54" spans="1:17" hidden="1" outlineLevel="1" x14ac:dyDescent="0.25">
      <c r="A54" s="157"/>
      <c r="B54" s="157"/>
      <c r="C54" s="157"/>
      <c r="D54" s="218" t="s">
        <v>910</v>
      </c>
      <c r="E54" s="218"/>
      <c r="F54" s="196">
        <v>0.94</v>
      </c>
      <c r="G54" s="196">
        <v>0.85</v>
      </c>
      <c r="H54" s="218">
        <v>131</v>
      </c>
      <c r="I54" s="218">
        <v>77</v>
      </c>
      <c r="J54" s="197">
        <v>5.0999999999999996</v>
      </c>
      <c r="K54" s="197">
        <v>1</v>
      </c>
      <c r="L54" s="202">
        <v>23.4</v>
      </c>
      <c r="M54" s="221">
        <v>25.9</v>
      </c>
      <c r="N54" s="160"/>
      <c r="O54" s="157"/>
      <c r="P54" s="157"/>
    </row>
    <row r="55" spans="1:17" hidden="1" outlineLevel="1" x14ac:dyDescent="0.25">
      <c r="A55" s="157"/>
      <c r="B55" s="157"/>
      <c r="C55" s="157"/>
      <c r="D55" s="383" t="s">
        <v>240</v>
      </c>
      <c r="E55" s="218"/>
      <c r="F55" s="196">
        <v>2.73</v>
      </c>
      <c r="G55" s="196">
        <v>2.78</v>
      </c>
      <c r="H55" s="383">
        <v>0</v>
      </c>
      <c r="I55" s="383">
        <v>0</v>
      </c>
      <c r="J55" s="197">
        <v>0</v>
      </c>
      <c r="K55" s="197">
        <v>0</v>
      </c>
      <c r="L55" s="202">
        <v>0</v>
      </c>
      <c r="M55" s="221">
        <v>0</v>
      </c>
      <c r="N55" s="159"/>
      <c r="O55" s="157"/>
      <c r="P55" s="157"/>
      <c r="Q55" s="383" t="s">
        <v>441</v>
      </c>
    </row>
    <row r="56" spans="1:17" hidden="1" outlineLevel="1" x14ac:dyDescent="0.25">
      <c r="A56" s="157"/>
      <c r="B56" s="157"/>
      <c r="C56" s="157"/>
      <c r="D56" s="383" t="s">
        <v>56</v>
      </c>
      <c r="E56" s="218"/>
      <c r="F56" s="196">
        <v>1.18</v>
      </c>
      <c r="G56" s="196">
        <v>1.18</v>
      </c>
      <c r="H56" s="383">
        <v>213</v>
      </c>
      <c r="I56" s="383">
        <v>106</v>
      </c>
      <c r="J56" s="197">
        <v>3.2</v>
      </c>
      <c r="K56" s="197">
        <v>2.1</v>
      </c>
      <c r="L56" s="202">
        <v>38.5</v>
      </c>
      <c r="M56" s="221">
        <v>12.8</v>
      </c>
      <c r="N56" s="159"/>
      <c r="O56" s="157"/>
      <c r="P56" s="157"/>
      <c r="Q56" s="383" t="s">
        <v>903</v>
      </c>
    </row>
    <row r="57" spans="1:17" hidden="1" outlineLevel="1" x14ac:dyDescent="0.25">
      <c r="A57" s="157"/>
      <c r="B57" s="157"/>
      <c r="C57" s="157"/>
      <c r="D57" s="1052" t="s">
        <v>1286</v>
      </c>
      <c r="E57" s="218"/>
      <c r="F57" s="1052">
        <v>0.6</v>
      </c>
      <c r="G57" s="1053">
        <v>0.5</v>
      </c>
      <c r="H57" s="1052">
        <v>100</v>
      </c>
      <c r="I57" s="1052">
        <v>80</v>
      </c>
      <c r="J57" s="1052">
        <v>1.3</v>
      </c>
      <c r="K57" s="1052">
        <v>3.8</v>
      </c>
      <c r="L57" s="1052">
        <v>17</v>
      </c>
      <c r="M57" s="1052">
        <v>36</v>
      </c>
      <c r="N57" s="159"/>
      <c r="O57" s="157"/>
      <c r="P57" s="157"/>
      <c r="Q57" s="383" t="s">
        <v>904</v>
      </c>
    </row>
    <row r="58" spans="1:17" hidden="1" outlineLevel="1" x14ac:dyDescent="0.25">
      <c r="D58" s="218" t="s">
        <v>1273</v>
      </c>
      <c r="E58" s="218"/>
      <c r="F58" s="196">
        <v>0.62</v>
      </c>
      <c r="G58" s="196">
        <v>0.54</v>
      </c>
      <c r="H58" s="218">
        <v>103</v>
      </c>
      <c r="I58" s="218">
        <v>91</v>
      </c>
      <c r="J58" s="197">
        <v>1.9</v>
      </c>
      <c r="K58" s="197">
        <v>6.5</v>
      </c>
      <c r="L58" s="202">
        <v>17.5</v>
      </c>
      <c r="M58" s="221">
        <v>29.5</v>
      </c>
      <c r="Q58" s="383" t="s">
        <v>240</v>
      </c>
    </row>
    <row r="59" spans="1:17" hidden="1" outlineLevel="1" x14ac:dyDescent="0.25">
      <c r="D59" s="383" t="s">
        <v>68</v>
      </c>
      <c r="E59" s="383"/>
      <c r="F59" s="196">
        <v>1.06</v>
      </c>
      <c r="G59" s="196">
        <v>1.06</v>
      </c>
      <c r="H59" s="383">
        <v>64</v>
      </c>
      <c r="I59" s="383">
        <v>84</v>
      </c>
      <c r="J59" s="197">
        <v>2.2000000000000002</v>
      </c>
      <c r="K59" s="197">
        <v>0.3</v>
      </c>
      <c r="L59" s="202">
        <v>9.4</v>
      </c>
      <c r="M59" s="221">
        <v>2.5</v>
      </c>
      <c r="Q59" s="383" t="s">
        <v>902</v>
      </c>
    </row>
    <row r="60" spans="1:17" hidden="1" outlineLevel="1" x14ac:dyDescent="0.25">
      <c r="D60" s="218" t="s">
        <v>146</v>
      </c>
      <c r="E60" s="218"/>
      <c r="F60" s="196">
        <v>0.75</v>
      </c>
      <c r="G60" s="196">
        <v>0.75</v>
      </c>
      <c r="H60" s="218">
        <v>63</v>
      </c>
      <c r="I60" s="218">
        <v>54</v>
      </c>
      <c r="J60" s="197">
        <v>0.2</v>
      </c>
      <c r="K60" s="197">
        <v>0.5</v>
      </c>
      <c r="L60" s="202">
        <v>14.5</v>
      </c>
      <c r="M60" s="221">
        <v>0</v>
      </c>
      <c r="Q60" s="383" t="s">
        <v>119</v>
      </c>
    </row>
    <row r="61" spans="1:17" hidden="1" outlineLevel="1" x14ac:dyDescent="0.25">
      <c r="D61" s="218" t="s">
        <v>54</v>
      </c>
      <c r="E61" s="218"/>
      <c r="F61" s="196">
        <v>0.95</v>
      </c>
      <c r="G61" s="196">
        <v>0.93</v>
      </c>
      <c r="H61" s="218">
        <v>69</v>
      </c>
      <c r="I61" s="218">
        <v>87</v>
      </c>
      <c r="J61" s="197">
        <v>3</v>
      </c>
      <c r="K61" s="197">
        <v>0.5</v>
      </c>
      <c r="L61" s="202">
        <v>11.6</v>
      </c>
      <c r="M61" s="221">
        <v>5.2</v>
      </c>
      <c r="Q61" s="383" t="s">
        <v>146</v>
      </c>
    </row>
    <row r="62" spans="1:17" hidden="1" outlineLevel="1" x14ac:dyDescent="0.25">
      <c r="D62" s="1052" t="s">
        <v>1288</v>
      </c>
      <c r="E62" s="226"/>
      <c r="F62" s="1053">
        <v>0.4</v>
      </c>
      <c r="G62" s="1053">
        <v>0.35</v>
      </c>
      <c r="H62" s="1054">
        <v>25</v>
      </c>
      <c r="I62" s="1054">
        <v>45</v>
      </c>
      <c r="J62" s="1052">
        <v>0.5</v>
      </c>
      <c r="K62" s="1052">
        <v>1</v>
      </c>
      <c r="L62" s="1052">
        <v>3.5</v>
      </c>
      <c r="M62" s="1052">
        <v>42</v>
      </c>
      <c r="Q62" s="383" t="s">
        <v>242</v>
      </c>
    </row>
    <row r="63" spans="1:17" hidden="1" outlineLevel="1" x14ac:dyDescent="0.25">
      <c r="D63" s="218" t="s">
        <v>53</v>
      </c>
      <c r="E63" s="218"/>
      <c r="F63" s="196">
        <v>1.04</v>
      </c>
      <c r="G63" s="196">
        <v>1.05</v>
      </c>
      <c r="H63" s="218">
        <v>130</v>
      </c>
      <c r="I63" s="218">
        <v>83</v>
      </c>
      <c r="J63" s="197">
        <v>3.4</v>
      </c>
      <c r="K63" s="197">
        <v>0.7</v>
      </c>
      <c r="L63" s="202">
        <v>23.9</v>
      </c>
      <c r="M63" s="221">
        <v>6</v>
      </c>
      <c r="Q63" s="383" t="s">
        <v>120</v>
      </c>
    </row>
    <row r="64" spans="1:17" hidden="1" outlineLevel="1" x14ac:dyDescent="0.25">
      <c r="D64" s="218" t="s">
        <v>242</v>
      </c>
      <c r="E64" s="218"/>
      <c r="F64" s="196">
        <v>1.1499999999999999</v>
      </c>
      <c r="G64" s="196">
        <v>1.17</v>
      </c>
      <c r="H64" s="218">
        <v>196</v>
      </c>
      <c r="I64" s="218">
        <v>75</v>
      </c>
      <c r="J64" s="197">
        <v>9.6999999999999993</v>
      </c>
      <c r="K64" s="197">
        <v>11.7</v>
      </c>
      <c r="L64" s="202">
        <v>36</v>
      </c>
      <c r="M64" s="221">
        <v>0</v>
      </c>
      <c r="N64" s="216">
        <v>0</v>
      </c>
      <c r="O64" s="216"/>
    </row>
    <row r="65" spans="4:17" hidden="1" outlineLevel="1" x14ac:dyDescent="0.25">
      <c r="D65" s="218" t="s">
        <v>120</v>
      </c>
      <c r="E65" s="218"/>
      <c r="F65" s="196">
        <v>0.89</v>
      </c>
      <c r="G65" s="196">
        <v>0.87</v>
      </c>
      <c r="H65" s="218">
        <v>59</v>
      </c>
      <c r="I65" s="218">
        <v>97</v>
      </c>
      <c r="J65" s="197">
        <v>0.9</v>
      </c>
      <c r="K65" s="197">
        <v>3</v>
      </c>
      <c r="L65" s="202">
        <v>9.1</v>
      </c>
      <c r="M65" s="221">
        <v>19.399999999999999</v>
      </c>
      <c r="N65" s="216">
        <v>100</v>
      </c>
      <c r="O65" s="216"/>
      <c r="Q65" s="238" t="s">
        <v>435</v>
      </c>
    </row>
    <row r="66" spans="4:17" hidden="1" outlineLevel="1" x14ac:dyDescent="0.25">
      <c r="D66" s="218" t="s">
        <v>69</v>
      </c>
      <c r="E66" s="218"/>
      <c r="F66" s="196">
        <v>0.81</v>
      </c>
      <c r="G66" s="196">
        <v>0.76</v>
      </c>
      <c r="H66" s="218">
        <v>77</v>
      </c>
      <c r="I66" s="218">
        <v>82</v>
      </c>
      <c r="J66" s="197">
        <v>2.6</v>
      </c>
      <c r="K66" s="197">
        <v>0.5</v>
      </c>
      <c r="L66" s="202">
        <v>13.1</v>
      </c>
      <c r="M66" s="221">
        <v>11.6</v>
      </c>
      <c r="N66" s="216">
        <v>100</v>
      </c>
      <c r="O66" s="216"/>
      <c r="Q66" s="238" t="s">
        <v>1156</v>
      </c>
    </row>
    <row r="67" spans="4:17" hidden="1" outlineLevel="1" x14ac:dyDescent="0.25">
      <c r="D67" s="218" t="s">
        <v>66</v>
      </c>
      <c r="E67" s="218"/>
      <c r="F67" s="196">
        <v>1.03</v>
      </c>
      <c r="G67" s="196">
        <v>1.03</v>
      </c>
      <c r="H67" s="218">
        <v>59</v>
      </c>
      <c r="I67" s="218">
        <v>85</v>
      </c>
      <c r="J67" s="197">
        <v>2.6</v>
      </c>
      <c r="K67" s="197">
        <v>0.7</v>
      </c>
      <c r="L67" s="202">
        <v>10.3</v>
      </c>
      <c r="M67" s="221">
        <v>2.2000000000000002</v>
      </c>
      <c r="N67" s="216">
        <v>120</v>
      </c>
      <c r="O67" s="216"/>
      <c r="Q67" s="238" t="s">
        <v>443</v>
      </c>
    </row>
    <row r="68" spans="4:17" hidden="1" outlineLevel="1" x14ac:dyDescent="0.25">
      <c r="D68" s="218" t="s">
        <v>243</v>
      </c>
      <c r="E68" s="218"/>
      <c r="F68" s="196">
        <v>1.05</v>
      </c>
      <c r="G68" s="196">
        <v>1.06</v>
      </c>
      <c r="H68" s="218">
        <v>67</v>
      </c>
      <c r="I68" s="218">
        <v>87</v>
      </c>
      <c r="J68" s="197">
        <v>2.4</v>
      </c>
      <c r="K68" s="197">
        <v>0.2</v>
      </c>
      <c r="L68" s="202">
        <v>109</v>
      </c>
      <c r="M68" s="221">
        <v>2.7</v>
      </c>
      <c r="N68" s="216">
        <v>120</v>
      </c>
      <c r="O68" s="216"/>
      <c r="Q68" s="238" t="s">
        <v>444</v>
      </c>
    </row>
    <row r="69" spans="4:17" hidden="1" outlineLevel="1" x14ac:dyDescent="0.25">
      <c r="D69" s="218" t="s">
        <v>890</v>
      </c>
      <c r="E69" s="218"/>
      <c r="F69" s="196">
        <v>1</v>
      </c>
      <c r="G69" s="196">
        <v>0.97</v>
      </c>
      <c r="H69" s="218">
        <v>347</v>
      </c>
      <c r="I69" s="218">
        <v>215</v>
      </c>
      <c r="J69" s="197">
        <v>4.0999999999999996</v>
      </c>
      <c r="K69" s="197">
        <v>1.2</v>
      </c>
      <c r="L69" s="202">
        <v>54.6</v>
      </c>
      <c r="M69" s="221">
        <v>7.6</v>
      </c>
      <c r="N69" s="216">
        <v>40</v>
      </c>
      <c r="O69" s="216"/>
      <c r="Q69" s="238" t="s">
        <v>445</v>
      </c>
    </row>
    <row r="70" spans="4:17" hidden="1" outlineLevel="1" x14ac:dyDescent="0.25">
      <c r="D70" s="218" t="s">
        <v>897</v>
      </c>
      <c r="E70" s="218"/>
      <c r="F70" s="196">
        <v>0.85</v>
      </c>
      <c r="G70" s="196">
        <v>0.8</v>
      </c>
      <c r="H70" s="218">
        <v>219</v>
      </c>
      <c r="I70" s="218">
        <v>138</v>
      </c>
      <c r="J70" s="197">
        <v>9.1999999999999993</v>
      </c>
      <c r="K70" s="197">
        <v>5.2</v>
      </c>
      <c r="L70" s="202">
        <v>35</v>
      </c>
      <c r="M70" s="221">
        <v>13.9</v>
      </c>
      <c r="N70" s="216">
        <v>50</v>
      </c>
      <c r="O70" s="216"/>
      <c r="Q70" s="285" t="s">
        <v>1154</v>
      </c>
    </row>
    <row r="71" spans="4:17" hidden="1" outlineLevel="1" x14ac:dyDescent="0.25">
      <c r="D71" s="383" t="s">
        <v>898</v>
      </c>
      <c r="E71" s="383"/>
      <c r="F71" s="196">
        <v>0.88</v>
      </c>
      <c r="G71" s="196">
        <v>0.84</v>
      </c>
      <c r="H71" s="383">
        <v>227</v>
      </c>
      <c r="I71" s="383">
        <v>179</v>
      </c>
      <c r="J71" s="197">
        <v>6</v>
      </c>
      <c r="K71" s="197">
        <v>2.8</v>
      </c>
      <c r="L71" s="202">
        <v>35.9</v>
      </c>
      <c r="M71" s="221">
        <v>11</v>
      </c>
      <c r="N71" s="216">
        <v>50</v>
      </c>
      <c r="O71" s="216"/>
      <c r="Q71" s="285" t="s">
        <v>1155</v>
      </c>
    </row>
    <row r="72" spans="4:17" hidden="1" outlineLevel="1" x14ac:dyDescent="0.25">
      <c r="D72" s="383" t="s">
        <v>1272</v>
      </c>
      <c r="E72" s="383"/>
      <c r="F72" s="196">
        <v>1.06</v>
      </c>
      <c r="G72" s="196">
        <v>1.05</v>
      </c>
      <c r="H72" s="383">
        <v>331</v>
      </c>
      <c r="I72" s="383">
        <v>229</v>
      </c>
      <c r="J72" s="197">
        <v>5</v>
      </c>
      <c r="K72" s="197">
        <v>2.1</v>
      </c>
      <c r="L72" s="202">
        <v>51.6</v>
      </c>
      <c r="M72" s="221">
        <v>6.8</v>
      </c>
      <c r="N72" s="216">
        <v>60</v>
      </c>
      <c r="O72" s="216"/>
      <c r="Q72" s="662" t="s">
        <v>446</v>
      </c>
    </row>
    <row r="73" spans="4:17" hidden="1" outlineLevel="1" x14ac:dyDescent="0.25">
      <c r="D73" s="383" t="s">
        <v>899</v>
      </c>
      <c r="E73" s="383"/>
      <c r="F73" s="196">
        <v>0.56000000000000005</v>
      </c>
      <c r="G73" s="196">
        <v>0.46</v>
      </c>
      <c r="H73" s="383">
        <v>178</v>
      </c>
      <c r="I73" s="383">
        <v>93</v>
      </c>
      <c r="J73" s="197">
        <v>7.4</v>
      </c>
      <c r="K73" s="197">
        <v>2.4</v>
      </c>
      <c r="L73" s="202">
        <v>37.299999999999997</v>
      </c>
      <c r="M73" s="221">
        <v>23.6</v>
      </c>
      <c r="N73" s="216">
        <v>70</v>
      </c>
      <c r="O73" s="216"/>
      <c r="Q73" s="662" t="s">
        <v>447</v>
      </c>
    </row>
    <row r="74" spans="4:17" hidden="1" outlineLevel="1" x14ac:dyDescent="0.25">
      <c r="D74" s="383" t="s">
        <v>62</v>
      </c>
      <c r="E74" s="383"/>
      <c r="F74" s="196">
        <v>1.01</v>
      </c>
      <c r="G74" s="196">
        <v>1.02</v>
      </c>
      <c r="H74" s="383">
        <v>63</v>
      </c>
      <c r="I74" s="383">
        <v>84</v>
      </c>
      <c r="J74" s="197">
        <v>3</v>
      </c>
      <c r="K74" s="197">
        <v>0.5</v>
      </c>
      <c r="L74" s="202">
        <v>11</v>
      </c>
      <c r="M74" s="221">
        <v>2.7</v>
      </c>
      <c r="N74" s="216">
        <v>80</v>
      </c>
      <c r="O74" s="216"/>
      <c r="Q74" s="662" t="s">
        <v>448</v>
      </c>
    </row>
    <row r="75" spans="4:17" hidden="1" outlineLevel="1" x14ac:dyDescent="0.25">
      <c r="D75" s="218" t="s">
        <v>244</v>
      </c>
      <c r="E75" s="218"/>
      <c r="F75" s="196">
        <v>0</v>
      </c>
      <c r="G75" s="196">
        <v>0</v>
      </c>
      <c r="H75" s="218">
        <v>1443</v>
      </c>
      <c r="I75" s="218">
        <v>0</v>
      </c>
      <c r="J75" s="197">
        <v>0</v>
      </c>
      <c r="K75" s="197">
        <v>0</v>
      </c>
      <c r="L75" s="202">
        <v>0</v>
      </c>
      <c r="M75" s="221">
        <v>0</v>
      </c>
      <c r="N75" s="216">
        <v>80</v>
      </c>
      <c r="O75" s="216"/>
      <c r="Q75" s="238" t="s">
        <v>449</v>
      </c>
    </row>
    <row r="76" spans="4:17" hidden="1" outlineLevel="1" x14ac:dyDescent="0.25">
      <c r="D76" s="383" t="s">
        <v>64</v>
      </c>
      <c r="E76" s="383"/>
      <c r="F76" s="196">
        <v>1.02</v>
      </c>
      <c r="G76" s="196">
        <v>1.01</v>
      </c>
      <c r="H76" s="383">
        <v>161</v>
      </c>
      <c r="I76" s="383">
        <v>90</v>
      </c>
      <c r="J76" s="197">
        <v>3.8</v>
      </c>
      <c r="K76" s="197">
        <v>1</v>
      </c>
      <c r="L76" s="202">
        <v>29.6</v>
      </c>
      <c r="M76" s="221">
        <v>7.4</v>
      </c>
      <c r="N76" s="216">
        <v>80</v>
      </c>
      <c r="O76" s="216"/>
      <c r="Q76" s="238" t="s">
        <v>450</v>
      </c>
    </row>
    <row r="77" spans="4:17" hidden="1" outlineLevel="1" x14ac:dyDescent="0.25">
      <c r="N77" s="216">
        <v>90</v>
      </c>
      <c r="O77" s="216"/>
      <c r="Q77" s="238" t="s">
        <v>451</v>
      </c>
    </row>
    <row r="78" spans="4:17" hidden="1" outlineLevel="1" x14ac:dyDescent="0.25">
      <c r="N78" s="216">
        <v>0</v>
      </c>
      <c r="O78" s="216"/>
      <c r="Q78" s="238" t="s">
        <v>452</v>
      </c>
    </row>
    <row r="79" spans="4:17" hidden="1" outlineLevel="1" x14ac:dyDescent="0.25">
      <c r="Q79" s="238" t="s">
        <v>453</v>
      </c>
    </row>
    <row r="80" spans="4:17" hidden="1" outlineLevel="1" x14ac:dyDescent="0.25">
      <c r="Q80" s="238" t="s">
        <v>454</v>
      </c>
    </row>
    <row r="81" spans="3:17" hidden="1" outlineLevel="1" x14ac:dyDescent="0.25"/>
    <row r="82" spans="3:17" hidden="1" outlineLevel="1" x14ac:dyDescent="0.25">
      <c r="Q82" s="285" t="s">
        <v>1288</v>
      </c>
    </row>
    <row r="83" spans="3:17" hidden="1" outlineLevel="1" x14ac:dyDescent="0.25">
      <c r="Q83" s="285" t="s">
        <v>1286</v>
      </c>
    </row>
    <row r="84" spans="3:17" hidden="1" outlineLevel="1" x14ac:dyDescent="0.25">
      <c r="Q84" s="285" t="s">
        <v>1287</v>
      </c>
    </row>
    <row r="85" spans="3:17" hidden="1" outlineLevel="1" x14ac:dyDescent="0.25">
      <c r="H85" s="579"/>
      <c r="Q85" s="383"/>
    </row>
    <row r="86" spans="3:17" hidden="1" outlineLevel="1" x14ac:dyDescent="0.25">
      <c r="C86" s="986"/>
      <c r="Q86" s="383"/>
    </row>
    <row r="87" spans="3:17" hidden="1" outlineLevel="1" x14ac:dyDescent="0.25">
      <c r="C87" s="986"/>
      <c r="Q87" s="383"/>
    </row>
    <row r="88" spans="3:17" hidden="1" outlineLevel="1" x14ac:dyDescent="0.25">
      <c r="Q88" s="383"/>
    </row>
    <row r="89" spans="3:17" hidden="1" outlineLevel="1" x14ac:dyDescent="0.25">
      <c r="Q89" s="383"/>
    </row>
    <row r="90" spans="3:17" hidden="1" outlineLevel="1" x14ac:dyDescent="0.25"/>
    <row r="91" spans="3:17" hidden="1" outlineLevel="1" x14ac:dyDescent="0.25"/>
    <row r="92" spans="3:17" hidden="1" outlineLevel="1" x14ac:dyDescent="0.25"/>
    <row r="93" spans="3:17" hidden="1" outlineLevel="1" x14ac:dyDescent="0.25"/>
    <row r="94" spans="3:17" hidden="1" outlineLevel="1" x14ac:dyDescent="0.25"/>
    <row r="95" spans="3:17" hidden="1" outlineLevel="1" x14ac:dyDescent="0.25"/>
    <row r="96" spans="3:17" hidden="1" outlineLevel="1" x14ac:dyDescent="0.25"/>
    <row r="97" hidden="1" outlineLevel="1" x14ac:dyDescent="0.25"/>
    <row r="98" hidden="1" outlineLevel="1" x14ac:dyDescent="0.25"/>
    <row r="99" collapsed="1" x14ac:dyDescent="0.25"/>
  </sheetData>
  <protectedRanges>
    <protectedRange sqref="O10:O20" name="Plage6"/>
    <protectedRange sqref="B9:D20" name="Plage5"/>
  </protectedRanges>
  <sortState ref="D29:M76">
    <sortCondition ref="D29:D76"/>
  </sortState>
  <mergeCells count="35">
    <mergeCell ref="B2:R2"/>
    <mergeCell ref="F4:R4"/>
    <mergeCell ref="B1:R1"/>
    <mergeCell ref="P5:R6"/>
    <mergeCell ref="B13:B14"/>
    <mergeCell ref="D13:D14"/>
    <mergeCell ref="B7:B8"/>
    <mergeCell ref="E13:E14"/>
    <mergeCell ref="E9:E10"/>
    <mergeCell ref="E11:E12"/>
    <mergeCell ref="B11:B12"/>
    <mergeCell ref="D11:D12"/>
    <mergeCell ref="C11:C12"/>
    <mergeCell ref="C13:C14"/>
    <mergeCell ref="O6:O9"/>
    <mergeCell ref="B9:B10"/>
    <mergeCell ref="D9:D10"/>
    <mergeCell ref="B5:O5"/>
    <mergeCell ref="C9:C10"/>
    <mergeCell ref="C7:D8"/>
    <mergeCell ref="E7:M7"/>
    <mergeCell ref="F21:G22"/>
    <mergeCell ref="J21:K22"/>
    <mergeCell ref="E19:E20"/>
    <mergeCell ref="B15:B16"/>
    <mergeCell ref="D15:D16"/>
    <mergeCell ref="B19:B20"/>
    <mergeCell ref="D19:D20"/>
    <mergeCell ref="D17:D18"/>
    <mergeCell ref="B17:B18"/>
    <mergeCell ref="E17:E18"/>
    <mergeCell ref="E15:E16"/>
    <mergeCell ref="C15:C16"/>
    <mergeCell ref="C17:C18"/>
    <mergeCell ref="C19:C20"/>
  </mergeCells>
  <conditionalFormatting sqref="O23">
    <cfRule type="iconSet" priority="4">
      <iconSet iconSet="5Rating">
        <cfvo type="percent" val="0"/>
        <cfvo type="num" val="0.15"/>
        <cfvo type="num" val="0.2"/>
        <cfvo type="num" val="0.25"/>
        <cfvo type="num" val="0.3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7">
    <dataValidation type="list" allowBlank="1" showInputMessage="1" showErrorMessage="1" sqref="C9:C20">
      <formula1>$B$31:$B$37</formula1>
    </dataValidation>
    <dataValidation type="list" allowBlank="1" showInputMessage="1" showErrorMessage="1" sqref="D9:D10">
      <formula1>INDIRECT($C$9)</formula1>
    </dataValidation>
    <dataValidation type="list" allowBlank="1" showInputMessage="1" showErrorMessage="1" sqref="D11:D12">
      <formula1>INDIRECT($C$11)</formula1>
    </dataValidation>
    <dataValidation type="list" allowBlank="1" showInputMessage="1" showErrorMessage="1" sqref="D13:D14">
      <formula1>INDIRECT($C$13)</formula1>
    </dataValidation>
    <dataValidation type="list" allowBlank="1" showInputMessage="1" showErrorMessage="1" sqref="D15:D16">
      <formula1>INDIRECT($C$15)</formula1>
    </dataValidation>
    <dataValidation type="list" allowBlank="1" showInputMessage="1" showErrorMessage="1" sqref="D17:D18">
      <formula1>INDIRECT($C$17)</formula1>
    </dataValidation>
    <dataValidation type="list" allowBlank="1" showInputMessage="1" showErrorMessage="1" sqref="D19:D20">
      <formula1>INDIRECT($C$19)</formula1>
    </dataValidation>
  </dataValidation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Spinner 1">
              <controlPr defaultSize="0" autoPict="0">
                <anchor moveWithCells="1" sizeWithCells="1">
                  <from>
                    <xdr:col>14</xdr:col>
                    <xdr:colOff>0</xdr:colOff>
                    <xdr:row>9</xdr:row>
                    <xdr:rowOff>0</xdr:rowOff>
                  </from>
                  <to>
                    <xdr:col>14</xdr:col>
                    <xdr:colOff>266700</xdr:colOff>
                    <xdr:row>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5" name="Spinner 3">
              <controlPr defaultSize="0" autoPict="0">
                <anchor moveWithCells="1" sizeWithCells="1">
                  <from>
                    <xdr:col>14</xdr:col>
                    <xdr:colOff>0</xdr:colOff>
                    <xdr:row>11</xdr:row>
                    <xdr:rowOff>0</xdr:rowOff>
                  </from>
                  <to>
                    <xdr:col>14</xdr:col>
                    <xdr:colOff>266700</xdr:colOff>
                    <xdr:row>11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6" name="Spinner 4">
              <controlPr defaultSize="0" autoPict="0">
                <anchor moveWithCells="1" sizeWithCells="1">
                  <from>
                    <xdr:col>14</xdr:col>
                    <xdr:colOff>0</xdr:colOff>
                    <xdr:row>13</xdr:row>
                    <xdr:rowOff>0</xdr:rowOff>
                  </from>
                  <to>
                    <xdr:col>14</xdr:col>
                    <xdr:colOff>266700</xdr:colOff>
                    <xdr:row>13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5" r:id="rId7" name="Spinner 5">
              <controlPr defaultSize="0" autoPict="0">
                <anchor moveWithCells="1" sizeWithCells="1">
                  <from>
                    <xdr:col>14</xdr:col>
                    <xdr:colOff>0</xdr:colOff>
                    <xdr:row>15</xdr:row>
                    <xdr:rowOff>0</xdr:rowOff>
                  </from>
                  <to>
                    <xdr:col>14</xdr:col>
                    <xdr:colOff>266700</xdr:colOff>
                    <xdr:row>15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6" r:id="rId8" name="Spinner 6">
              <controlPr defaultSize="0" autoPict="0">
                <anchor moveWithCells="1" sizeWithCells="1">
                  <from>
                    <xdr:col>14</xdr:col>
                    <xdr:colOff>0</xdr:colOff>
                    <xdr:row>17</xdr:row>
                    <xdr:rowOff>0</xdr:rowOff>
                  </from>
                  <to>
                    <xdr:col>14</xdr:col>
                    <xdr:colOff>266700</xdr:colOff>
                    <xdr:row>17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7" r:id="rId9" name="Spinner 7">
              <controlPr defaultSize="0" autoPict="0">
                <anchor moveWithCells="1" sizeWithCells="1">
                  <from>
                    <xdr:col>14</xdr:col>
                    <xdr:colOff>0</xdr:colOff>
                    <xdr:row>19</xdr:row>
                    <xdr:rowOff>0</xdr:rowOff>
                  </from>
                  <to>
                    <xdr:col>14</xdr:col>
                    <xdr:colOff>266700</xdr:colOff>
                    <xdr:row>19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pageSetUpPr fitToPage="1"/>
  </sheetPr>
  <dimension ref="A1:Q40"/>
  <sheetViews>
    <sheetView showGridLines="0" showRowColHeaders="0" zoomScale="64" zoomScaleNormal="64" workbookViewId="0"/>
  </sheetViews>
  <sheetFormatPr defaultColWidth="11.42578125" defaultRowHeight="15" x14ac:dyDescent="0.25"/>
  <cols>
    <col min="1" max="1" width="4.140625" style="366" customWidth="1"/>
    <col min="2" max="2" width="8.28515625" style="366" customWidth="1"/>
    <col min="3" max="3" width="22.7109375" style="366" customWidth="1"/>
    <col min="4" max="10" width="8.7109375" style="366" customWidth="1"/>
    <col min="11" max="11" width="5" style="366" customWidth="1"/>
    <col min="12" max="16384" width="11.42578125" style="366"/>
  </cols>
  <sheetData>
    <row r="1" spans="2:17" ht="8.25" customHeight="1" x14ac:dyDescent="0.25"/>
    <row r="2" spans="2:17" ht="49.5" customHeight="1" x14ac:dyDescent="0.25">
      <c r="B2" s="479" t="s">
        <v>1278</v>
      </c>
      <c r="C2" s="479"/>
      <c r="D2" s="479"/>
      <c r="E2" s="479"/>
      <c r="F2" s="745" t="s">
        <v>990</v>
      </c>
      <c r="G2" s="1323"/>
      <c r="H2" s="1324"/>
      <c r="I2" s="1324"/>
      <c r="J2" s="1325"/>
    </row>
    <row r="3" spans="2:17" ht="9.75" hidden="1" customHeight="1" thickBot="1" x14ac:dyDescent="0.3">
      <c r="B3" s="1346" t="s">
        <v>74</v>
      </c>
      <c r="C3" s="1347"/>
      <c r="D3" s="1347"/>
      <c r="E3" s="1347"/>
      <c r="F3" s="1347"/>
      <c r="G3" s="1347"/>
      <c r="H3" s="1347"/>
      <c r="I3" s="1347"/>
      <c r="J3" s="1348"/>
    </row>
    <row r="4" spans="2:17" ht="15" hidden="1" customHeight="1" x14ac:dyDescent="0.25">
      <c r="B4" s="405"/>
      <c r="C4" s="405"/>
      <c r="D4" s="405"/>
      <c r="E4" s="405"/>
      <c r="F4" s="405"/>
      <c r="G4" s="405"/>
      <c r="H4" s="405"/>
      <c r="I4" s="405"/>
      <c r="J4" s="405"/>
    </row>
    <row r="5" spans="2:17" ht="26.25" hidden="1" x14ac:dyDescent="0.25">
      <c r="B5" s="406"/>
      <c r="C5" s="407"/>
      <c r="D5" s="407"/>
      <c r="E5" s="407"/>
      <c r="F5" s="407"/>
      <c r="G5" s="407"/>
      <c r="H5" s="407"/>
      <c r="I5" s="407"/>
      <c r="J5" s="408"/>
      <c r="K5" s="409"/>
    </row>
    <row r="6" spans="2:17" ht="19.149999999999999" customHeight="1" thickBot="1" x14ac:dyDescent="0.3"/>
    <row r="7" spans="2:17" ht="25.5" customHeight="1" x14ac:dyDescent="0.25">
      <c r="B7" s="1353" t="s">
        <v>1</v>
      </c>
      <c r="C7" s="1354"/>
      <c r="D7" s="1354"/>
      <c r="E7" s="1354" t="s">
        <v>81</v>
      </c>
      <c r="F7" s="1354"/>
      <c r="G7" s="1354"/>
      <c r="H7" s="1354"/>
      <c r="I7" s="1354"/>
      <c r="J7" s="1357"/>
      <c r="Q7"/>
    </row>
    <row r="8" spans="2:17" ht="30" customHeight="1" x14ac:dyDescent="0.25">
      <c r="B8" s="1355"/>
      <c r="C8" s="1356"/>
      <c r="D8" s="1356"/>
      <c r="E8" s="302" t="s">
        <v>2</v>
      </c>
      <c r="F8" s="302" t="s">
        <v>0</v>
      </c>
      <c r="G8" s="302" t="s">
        <v>82</v>
      </c>
      <c r="H8" s="302" t="s">
        <v>83</v>
      </c>
      <c r="I8" s="302" t="s">
        <v>49</v>
      </c>
      <c r="J8" s="87" t="s">
        <v>50</v>
      </c>
      <c r="Q8"/>
    </row>
    <row r="9" spans="2:17" ht="40.5" customHeight="1" thickBot="1" x14ac:dyDescent="0.3">
      <c r="B9" s="1358" t="str">
        <f>IF(ANIMAL!E11="","",ANIMAL!E11)</f>
        <v>Brebis  70 kg   Gestante    Double      Semaines - 3 à - 4</v>
      </c>
      <c r="C9" s="1359"/>
      <c r="D9" s="1360"/>
      <c r="E9" s="247">
        <f>IF($B$9="","",ANIMAL!E16)</f>
        <v>1.71</v>
      </c>
      <c r="F9" s="247">
        <f>IF($B$9="","",ANIMAL!F16)</f>
        <v>1.1399999999999999</v>
      </c>
      <c r="G9" s="88">
        <f>IF($B$9="","",ANIMAL!G16)</f>
        <v>146</v>
      </c>
      <c r="H9" s="88">
        <f>IF($B$9="","",ANIMAL!G16)</f>
        <v>146</v>
      </c>
      <c r="I9" s="248">
        <f>IF($B$9="","",ANIMAL!H16)</f>
        <v>3.2</v>
      </c>
      <c r="J9" s="249">
        <f>IF($B$9="","",ANIMAL!I16)</f>
        <v>3.5</v>
      </c>
      <c r="M9" s="740"/>
      <c r="Q9"/>
    </row>
    <row r="10" spans="2:17" ht="15" customHeight="1" thickBot="1" x14ac:dyDescent="0.3">
      <c r="M10" s="740"/>
    </row>
    <row r="11" spans="2:17" ht="25.5" customHeight="1" x14ac:dyDescent="0.25">
      <c r="B11" s="1361" t="s">
        <v>84</v>
      </c>
      <c r="C11" s="1363" t="s">
        <v>85</v>
      </c>
      <c r="D11" s="1354" t="s">
        <v>86</v>
      </c>
      <c r="E11" s="1354"/>
      <c r="F11" s="1354"/>
      <c r="G11" s="1354"/>
      <c r="H11" s="1354"/>
      <c r="I11" s="1354"/>
      <c r="J11" s="1357"/>
      <c r="M11" s="740"/>
    </row>
    <row r="12" spans="2:17" ht="30" customHeight="1" x14ac:dyDescent="0.25">
      <c r="B12" s="1362"/>
      <c r="C12" s="1364"/>
      <c r="D12" s="302" t="s">
        <v>87</v>
      </c>
      <c r="E12" s="302" t="s">
        <v>2</v>
      </c>
      <c r="F12" s="302" t="s">
        <v>0</v>
      </c>
      <c r="G12" s="302" t="s">
        <v>82</v>
      </c>
      <c r="H12" s="302" t="s">
        <v>83</v>
      </c>
      <c r="I12" s="302" t="s">
        <v>49</v>
      </c>
      <c r="J12" s="87" t="s">
        <v>50</v>
      </c>
      <c r="M12" s="740"/>
    </row>
    <row r="13" spans="2:17" ht="20.25" customHeight="1" x14ac:dyDescent="0.25">
      <c r="B13" s="1330" t="str">
        <f>IF(FOURRAGE!L10="","",FOURRAGE!L10)</f>
        <v/>
      </c>
      <c r="C13" s="1349" t="str">
        <f>FOURRAGE!E9</f>
        <v xml:space="preserve">          </v>
      </c>
      <c r="D13" s="89" t="str">
        <f>FOURRAGE!E15</f>
        <v/>
      </c>
      <c r="E13" s="89" t="str">
        <f>FOURRAGE!F15</f>
        <v/>
      </c>
      <c r="F13" s="89" t="str">
        <f>FOURRAGE!G15</f>
        <v/>
      </c>
      <c r="G13" s="94" t="str">
        <f>FOURRAGE!H15</f>
        <v/>
      </c>
      <c r="H13" s="94" t="str">
        <f>FOURRAGE!I15</f>
        <v/>
      </c>
      <c r="I13" s="90" t="str">
        <f>FOURRAGE!J15</f>
        <v/>
      </c>
      <c r="J13" s="91" t="str">
        <f>FOURRAGE!L15</f>
        <v/>
      </c>
      <c r="M13" s="740"/>
    </row>
    <row r="14" spans="2:17" ht="30" customHeight="1" x14ac:dyDescent="0.25">
      <c r="B14" s="1330"/>
      <c r="C14" s="1349"/>
      <c r="D14" s="410" t="str">
        <f>IF(B13="","",B13*(D13/100))</f>
        <v/>
      </c>
      <c r="E14" s="76" t="str">
        <f t="shared" ref="E14:J14" si="0">IF($D$14="","",$D$14*E13)</f>
        <v/>
      </c>
      <c r="F14" s="76" t="str">
        <f t="shared" si="0"/>
        <v/>
      </c>
      <c r="G14" s="250" t="str">
        <f t="shared" si="0"/>
        <v/>
      </c>
      <c r="H14" s="250" t="str">
        <f t="shared" si="0"/>
        <v/>
      </c>
      <c r="I14" s="76" t="str">
        <f t="shared" si="0"/>
        <v/>
      </c>
      <c r="J14" s="93" t="str">
        <f t="shared" si="0"/>
        <v/>
      </c>
      <c r="M14" s="740"/>
    </row>
    <row r="15" spans="2:17" ht="20.25" customHeight="1" x14ac:dyDescent="0.25">
      <c r="B15" s="1330" t="str">
        <f>IF(FOURRAGE!L24="","",FOURRAGE!L24)</f>
        <v/>
      </c>
      <c r="C15" s="1343" t="str">
        <f>FOURRAGE!E23</f>
        <v xml:space="preserve">          </v>
      </c>
      <c r="D15" s="89" t="str">
        <f>IF(C15="","",FOURRAGE!E29)</f>
        <v/>
      </c>
      <c r="E15" s="89" t="str">
        <f>IF(C15="","",FOURRAGE!F29)</f>
        <v/>
      </c>
      <c r="F15" s="89" t="str">
        <f>IF(C15="","",FOURRAGE!G29)</f>
        <v/>
      </c>
      <c r="G15" s="94" t="str">
        <f>IF(C15="","",FOURRAGE!H29)</f>
        <v/>
      </c>
      <c r="H15" s="94" t="str">
        <f>IF(C15="","",FOURRAGE!I29)</f>
        <v/>
      </c>
      <c r="I15" s="90" t="str">
        <f>IF(C15="","",FOURRAGE!J29)</f>
        <v/>
      </c>
      <c r="J15" s="91" t="str">
        <f>IF(C15="","",FOURRAGE!L29)</f>
        <v/>
      </c>
      <c r="M15" s="740"/>
    </row>
    <row r="16" spans="2:17" ht="30" customHeight="1" x14ac:dyDescent="0.25">
      <c r="B16" s="1330"/>
      <c r="C16" s="1344"/>
      <c r="D16" s="410" t="str">
        <f>IF(B15="","",B15*(D15/100))</f>
        <v/>
      </c>
      <c r="E16" s="76" t="str">
        <f t="shared" ref="E16:J16" si="1">IF($D$16="","",$D$16*E15)</f>
        <v/>
      </c>
      <c r="F16" s="76" t="str">
        <f t="shared" si="1"/>
        <v/>
      </c>
      <c r="G16" s="250" t="str">
        <f t="shared" si="1"/>
        <v/>
      </c>
      <c r="H16" s="250" t="str">
        <f t="shared" si="1"/>
        <v/>
      </c>
      <c r="I16" s="76" t="str">
        <f t="shared" si="1"/>
        <v/>
      </c>
      <c r="J16" s="93" t="str">
        <f t="shared" si="1"/>
        <v/>
      </c>
      <c r="M16" s="740"/>
    </row>
    <row r="17" spans="1:13" ht="30" customHeight="1" thickBot="1" x14ac:dyDescent="0.3">
      <c r="B17" s="411" t="str">
        <f>IF(SUM(B13,B15)=0,"",SUM(B13,B15))</f>
        <v/>
      </c>
      <c r="C17" s="412" t="s">
        <v>517</v>
      </c>
      <c r="D17" s="413" t="str">
        <f>IF(B17="","",SUM(D14,D16))</f>
        <v/>
      </c>
      <c r="E17" s="413" t="str">
        <f>IF(B17="","",SUM(E14,E16))</f>
        <v/>
      </c>
      <c r="F17" s="413" t="str">
        <f>IF(B17="","",SUM(F14,F16))</f>
        <v/>
      </c>
      <c r="G17" s="414" t="str">
        <f>IF(B17="","",SUM(G14,G16))</f>
        <v/>
      </c>
      <c r="H17" s="414" t="str">
        <f>IF(B17="","",SUM(H14,H16))</f>
        <v/>
      </c>
      <c r="I17" s="413" t="str">
        <f>IF(B17="","",SUM(I14,I16))</f>
        <v/>
      </c>
      <c r="J17" s="415" t="str">
        <f>IF(B17="","",SUM(J14,J16))</f>
        <v/>
      </c>
      <c r="M17" s="740"/>
    </row>
    <row r="18" spans="1:13" ht="15" customHeight="1" thickBot="1" x14ac:dyDescent="0.3">
      <c r="A18" s="371"/>
      <c r="B18" s="77"/>
      <c r="C18" s="78"/>
      <c r="D18" s="79"/>
      <c r="E18" s="79"/>
      <c r="F18" s="79"/>
      <c r="G18" s="416"/>
      <c r="H18" s="416"/>
      <c r="I18" s="79"/>
      <c r="J18" s="79"/>
      <c r="K18" s="371"/>
      <c r="M18" s="740"/>
    </row>
    <row r="19" spans="1:13" ht="30" customHeight="1" thickBot="1" x14ac:dyDescent="0.3">
      <c r="B19" s="1350" t="s">
        <v>90</v>
      </c>
      <c r="C19" s="1351"/>
      <c r="D19" s="1352"/>
      <c r="E19" s="97" t="e">
        <f t="shared" ref="E19:J19" si="2">IF(E9="","",E17-E9)</f>
        <v>#VALUE!</v>
      </c>
      <c r="F19" s="97" t="e">
        <f t="shared" si="2"/>
        <v>#VALUE!</v>
      </c>
      <c r="G19" s="252" t="e">
        <f t="shared" si="2"/>
        <v>#VALUE!</v>
      </c>
      <c r="H19" s="252" t="e">
        <f t="shared" si="2"/>
        <v>#VALUE!</v>
      </c>
      <c r="I19" s="97" t="e">
        <f t="shared" si="2"/>
        <v>#VALUE!</v>
      </c>
      <c r="J19" s="417" t="e">
        <f t="shared" si="2"/>
        <v>#VALUE!</v>
      </c>
      <c r="M19" s="740"/>
    </row>
    <row r="20" spans="1:13" ht="15" customHeight="1" thickBot="1" x14ac:dyDescent="0.3">
      <c r="A20" s="371"/>
      <c r="B20" s="77"/>
      <c r="C20" s="80"/>
      <c r="D20" s="80"/>
      <c r="E20" s="81"/>
      <c r="F20" s="81"/>
      <c r="G20" s="82"/>
      <c r="H20" s="82"/>
      <c r="I20" s="81"/>
      <c r="J20" s="81"/>
      <c r="K20" s="371"/>
      <c r="M20" s="740"/>
    </row>
    <row r="21" spans="1:13" ht="20.25" customHeight="1" x14ac:dyDescent="0.25">
      <c r="B21" s="1345" t="str">
        <f>IF(CONCENTRE!K9="","",CONCENTRE!K9)</f>
        <v/>
      </c>
      <c r="C21" s="1342" t="str">
        <f>IF(B21="","",CONCENTRE!C10)</f>
        <v/>
      </c>
      <c r="D21" s="119"/>
      <c r="E21" s="119"/>
      <c r="F21" s="119" t="str">
        <f>IF(C21="","",CONCENTRE!E10)</f>
        <v/>
      </c>
      <c r="G21" s="120" t="str">
        <f>IF(C21="","",CONCENTRE!F10)</f>
        <v/>
      </c>
      <c r="H21" s="120" t="str">
        <f>IF(C21="","",CONCENTRE!G10)</f>
        <v/>
      </c>
      <c r="I21" s="98" t="str">
        <f>IF(C21="","",CONCENTRE!H10)</f>
        <v/>
      </c>
      <c r="J21" s="99" t="str">
        <f>IF(C21="","",CONCENTRE!I10)</f>
        <v/>
      </c>
      <c r="M21" s="740"/>
    </row>
    <row r="22" spans="1:13" ht="30" customHeight="1" x14ac:dyDescent="0.25">
      <c r="B22" s="1330"/>
      <c r="C22" s="1332"/>
      <c r="D22" s="76"/>
      <c r="E22" s="92"/>
      <c r="F22" s="76" t="str">
        <f>IF(B21="","",$B$21*F21)</f>
        <v/>
      </c>
      <c r="G22" s="250" t="str">
        <f>IF(B21="","",$B$21*G21)</f>
        <v/>
      </c>
      <c r="H22" s="250" t="str">
        <f>IF(B21="","",$B$21*H21)</f>
        <v/>
      </c>
      <c r="I22" s="76" t="str">
        <f>IF(B21="","",$B$21*I21)</f>
        <v/>
      </c>
      <c r="J22" s="93" t="str">
        <f>IF(B21="","",$B$21*J21)</f>
        <v/>
      </c>
      <c r="M22"/>
    </row>
    <row r="23" spans="1:13" ht="20.25" customHeight="1" x14ac:dyDescent="0.25">
      <c r="B23" s="1330" t="str">
        <f>IF(CONCENTRE!K16="","",CONCENTRE!K16)</f>
        <v/>
      </c>
      <c r="C23" s="1331" t="str">
        <f>IF(B23="","",CONCENTRE!C17)</f>
        <v/>
      </c>
      <c r="D23" s="89"/>
      <c r="E23" s="89"/>
      <c r="F23" s="89" t="str">
        <f>IF(C23="","",CONCENTRE!E17)</f>
        <v/>
      </c>
      <c r="G23" s="94" t="str">
        <f>IF(C23="","",CONCENTRE!F17)</f>
        <v/>
      </c>
      <c r="H23" s="94" t="str">
        <f>IF(C23="","",CONCENTRE!G17)</f>
        <v/>
      </c>
      <c r="I23" s="90" t="str">
        <f>IF(C23="","",CONCENTRE!H17)</f>
        <v/>
      </c>
      <c r="J23" s="91" t="str">
        <f>IF(C23="","",CONCENTRE!I17)</f>
        <v/>
      </c>
      <c r="M23"/>
    </row>
    <row r="24" spans="1:13" ht="30" customHeight="1" x14ac:dyDescent="0.25">
      <c r="B24" s="1330"/>
      <c r="C24" s="1332"/>
      <c r="D24" s="76"/>
      <c r="E24" s="92"/>
      <c r="F24" s="76" t="str">
        <f>IF(B23="","",$B$23*F23)</f>
        <v/>
      </c>
      <c r="G24" s="250" t="str">
        <f>IF(B23="","",$B$23*G23)</f>
        <v/>
      </c>
      <c r="H24" s="250" t="str">
        <f>IF(B23="","",$B$23*H23)</f>
        <v/>
      </c>
      <c r="I24" s="76" t="str">
        <f>IF(B23="","",$B$23*I23)</f>
        <v/>
      </c>
      <c r="J24" s="93" t="str">
        <f>IF(B23="","",$B$23*J23)</f>
        <v/>
      </c>
      <c r="M24"/>
    </row>
    <row r="25" spans="1:13" ht="30" customHeight="1" thickBot="1" x14ac:dyDescent="0.3">
      <c r="B25" s="101" t="str">
        <f>IF(SUM(B21,B23)=0,"",SUM(B21,B23))</f>
        <v/>
      </c>
      <c r="C25" s="110" t="s">
        <v>93</v>
      </c>
      <c r="D25" s="95"/>
      <c r="E25" s="95"/>
      <c r="F25" s="248" t="str">
        <f>IF(B25="","",SUM(F22,F24))</f>
        <v/>
      </c>
      <c r="G25" s="418" t="str">
        <f>IF(B25="","",SUM(G22,G24))</f>
        <v/>
      </c>
      <c r="H25" s="418" t="str">
        <f>IF(B25="","",SUM(H22,H24))</f>
        <v/>
      </c>
      <c r="I25" s="248" t="str">
        <f>IF(B25="","",SUM(I22,I24))</f>
        <v/>
      </c>
      <c r="J25" s="249" t="str">
        <f>IF(B25="","",SUM(J22,J24))</f>
        <v/>
      </c>
      <c r="M25"/>
    </row>
    <row r="26" spans="1:13" ht="15" customHeight="1" thickBot="1" x14ac:dyDescent="0.3">
      <c r="A26" s="371"/>
      <c r="B26" s="77"/>
      <c r="C26" s="83"/>
      <c r="D26" s="79"/>
      <c r="E26" s="79"/>
      <c r="F26" s="79"/>
      <c r="G26" s="79"/>
      <c r="H26" s="79"/>
      <c r="I26" s="79"/>
      <c r="J26" s="79"/>
      <c r="K26" s="371"/>
    </row>
    <row r="27" spans="1:13" ht="20.25" customHeight="1" x14ac:dyDescent="0.25">
      <c r="B27" s="1333" t="s">
        <v>464</v>
      </c>
      <c r="C27" s="279" t="s">
        <v>472</v>
      </c>
      <c r="D27" s="1334" t="str">
        <f>IF(D30="","",(G30-H30)/F30)</f>
        <v/>
      </c>
      <c r="E27" s="280" t="s">
        <v>467</v>
      </c>
      <c r="F27" s="1336" t="str">
        <f>IF(CMV!C8="","",(CMV!C12)/1000)</f>
        <v/>
      </c>
      <c r="G27" s="1338" t="str">
        <f>IF(F27="","",CMV!L8)</f>
        <v/>
      </c>
      <c r="H27" s="1339"/>
      <c r="I27" s="120" t="str">
        <f>CMV!G14</f>
        <v/>
      </c>
      <c r="J27" s="281" t="str">
        <f>CMV!I14</f>
        <v/>
      </c>
    </row>
    <row r="28" spans="1:13" ht="30" customHeight="1" thickBot="1" x14ac:dyDescent="0.35">
      <c r="B28" s="1333"/>
      <c r="C28" s="282" t="s">
        <v>473</v>
      </c>
      <c r="D28" s="1335"/>
      <c r="E28" s="121"/>
      <c r="F28" s="1337"/>
      <c r="G28" s="1340"/>
      <c r="H28" s="1341"/>
      <c r="I28" s="95" t="str">
        <f>IF(F27="","",I27*F27)</f>
        <v/>
      </c>
      <c r="J28" s="96" t="str">
        <f>IF(F27="","",J27*F27)</f>
        <v/>
      </c>
    </row>
    <row r="29" spans="1:13" ht="15" customHeight="1" thickBot="1" x14ac:dyDescent="0.3">
      <c r="B29" s="86"/>
      <c r="C29" s="84"/>
      <c r="D29" s="86"/>
      <c r="E29" s="86"/>
      <c r="F29" s="86"/>
      <c r="G29" s="86"/>
      <c r="H29" s="86"/>
      <c r="I29" s="86"/>
      <c r="J29" s="86"/>
    </row>
    <row r="30" spans="1:13" ht="30" customHeight="1" thickBot="1" x14ac:dyDescent="0.3">
      <c r="B30" s="421" t="str">
        <f>IF(B17="","",SUM(B17,B25,F27))</f>
        <v/>
      </c>
      <c r="C30" s="102" t="s">
        <v>89</v>
      </c>
      <c r="D30" s="103" t="str">
        <f>D17</f>
        <v/>
      </c>
      <c r="E30" s="103" t="str">
        <f>E17</f>
        <v/>
      </c>
      <c r="F30" s="103" t="e">
        <f>IF(F19="","",SUM(F25,F17))</f>
        <v>#VALUE!</v>
      </c>
      <c r="G30" s="251" t="e">
        <f>IF(G19="","",SUM(G25,G17))</f>
        <v>#VALUE!</v>
      </c>
      <c r="H30" s="251" t="e">
        <f>IF(H19="","",SUM(H25,H17))</f>
        <v>#VALUE!</v>
      </c>
      <c r="I30" s="103" t="e">
        <f>IF(I19="","",SUM(I25,I17,I28))</f>
        <v>#VALUE!</v>
      </c>
      <c r="J30" s="104" t="e">
        <f>IF(J19="","",SUM(J25,J17,J28))</f>
        <v>#VALUE!</v>
      </c>
    </row>
    <row r="31" spans="1:13" ht="15" customHeight="1" thickBot="1" x14ac:dyDescent="0.3">
      <c r="B31" s="86"/>
      <c r="C31" s="86"/>
      <c r="D31" s="86"/>
      <c r="E31" s="86"/>
      <c r="F31" s="86"/>
      <c r="G31" s="419"/>
      <c r="H31" s="419"/>
      <c r="I31" s="86"/>
      <c r="J31" s="86"/>
    </row>
    <row r="32" spans="1:13" ht="30" customHeight="1" thickBot="1" x14ac:dyDescent="0.3">
      <c r="B32" s="86"/>
      <c r="C32" s="1326" t="s">
        <v>90</v>
      </c>
      <c r="D32" s="1327"/>
      <c r="E32" s="97" t="str">
        <f>IF(B17="","",E30-E9)</f>
        <v/>
      </c>
      <c r="F32" s="97" t="str">
        <f>IF($B$17="","",F30-F9)</f>
        <v/>
      </c>
      <c r="G32" s="252" t="str">
        <f>IF($B$17="","",G30-G9)</f>
        <v/>
      </c>
      <c r="H32" s="253" t="str">
        <f>IF($B$17="","",H30-H9)</f>
        <v/>
      </c>
      <c r="I32" s="254" t="str">
        <f>IF($B$17="","",I30-I9)</f>
        <v/>
      </c>
      <c r="J32" s="255" t="str">
        <f>IF($B$17="","",J30-J9)</f>
        <v/>
      </c>
    </row>
    <row r="33" spans="1:10" ht="29.25" customHeight="1" x14ac:dyDescent="0.25">
      <c r="A33" s="1328" t="s">
        <v>980</v>
      </c>
      <c r="B33" s="1328"/>
      <c r="C33" s="1328"/>
      <c r="D33" s="1328"/>
      <c r="E33" s="1329" t="str">
        <f>IF(E32="","",IF(E32&gt;0,"ATTENTION ! La capacité d'ingestion est dépassée: REDUISEZ LES QUANTITES DE FOURRAGE",""))</f>
        <v/>
      </c>
      <c r="F33" s="1329"/>
      <c r="G33" s="1329"/>
      <c r="H33" s="1329"/>
      <c r="I33" s="1329"/>
      <c r="J33" s="1329"/>
    </row>
    <row r="34" spans="1:10" x14ac:dyDescent="0.25">
      <c r="A34" s="1328"/>
      <c r="B34" s="1328"/>
      <c r="C34" s="1328"/>
      <c r="D34" s="1328"/>
    </row>
    <row r="36" spans="1:10" x14ac:dyDescent="0.25">
      <c r="A36" s="420" t="s">
        <v>519</v>
      </c>
    </row>
    <row r="38" spans="1:10" x14ac:dyDescent="0.25">
      <c r="A38" s="366" t="s">
        <v>520</v>
      </c>
    </row>
    <row r="40" spans="1:10" x14ac:dyDescent="0.25">
      <c r="A40" s="366" t="s">
        <v>520</v>
      </c>
    </row>
  </sheetData>
  <mergeCells count="24">
    <mergeCell ref="C13:C14"/>
    <mergeCell ref="B19:D19"/>
    <mergeCell ref="B7:D8"/>
    <mergeCell ref="E7:J7"/>
    <mergeCell ref="B9:D9"/>
    <mergeCell ref="B11:B12"/>
    <mergeCell ref="C11:C12"/>
    <mergeCell ref="D11:J11"/>
    <mergeCell ref="G2:J2"/>
    <mergeCell ref="C32:D32"/>
    <mergeCell ref="A33:D34"/>
    <mergeCell ref="E33:J33"/>
    <mergeCell ref="B23:B24"/>
    <mergeCell ref="C23:C24"/>
    <mergeCell ref="B27:B28"/>
    <mergeCell ref="D27:D28"/>
    <mergeCell ref="F27:F28"/>
    <mergeCell ref="G27:H28"/>
    <mergeCell ref="C21:C22"/>
    <mergeCell ref="B15:B16"/>
    <mergeCell ref="C15:C16"/>
    <mergeCell ref="B21:B22"/>
    <mergeCell ref="B3:J3"/>
    <mergeCell ref="B13:B1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pageSetUpPr fitToPage="1"/>
  </sheetPr>
  <dimension ref="A1:N81"/>
  <sheetViews>
    <sheetView showGridLines="0" zoomScale="87" zoomScaleNormal="87" workbookViewId="0"/>
  </sheetViews>
  <sheetFormatPr defaultColWidth="11.42578125" defaultRowHeight="15" outlineLevelRow="1" x14ac:dyDescent="0.25"/>
  <cols>
    <col min="1" max="1" width="2.7109375" style="125" customWidth="1"/>
    <col min="2" max="2" width="10.42578125" style="125" customWidth="1"/>
    <col min="3" max="3" width="29.7109375" style="125" customWidth="1"/>
    <col min="4" max="4" width="9.140625" style="125" customWidth="1"/>
    <col min="5" max="9" width="10.5703125" style="125" customWidth="1"/>
    <col min="10" max="11" width="10.5703125" style="366" customWidth="1"/>
    <col min="12" max="12" width="2.28515625" style="85" customWidth="1"/>
    <col min="13" max="13" width="18.42578125" style="125" customWidth="1"/>
    <col min="14" max="14" width="2.7109375" style="125" customWidth="1"/>
    <col min="15" max="16384" width="11.42578125" style="125"/>
  </cols>
  <sheetData>
    <row r="1" spans="1:14" ht="9" customHeight="1" x14ac:dyDescent="0.25"/>
    <row r="2" spans="1:14" ht="47.25" customHeight="1" x14ac:dyDescent="0.25">
      <c r="B2" s="1379" t="s">
        <v>1276</v>
      </c>
      <c r="C2" s="1379"/>
      <c r="D2" s="1379"/>
      <c r="E2" s="1379"/>
      <c r="F2" s="479"/>
      <c r="G2" s="742"/>
      <c r="H2" s="742"/>
      <c r="I2" s="742"/>
      <c r="J2" s="742"/>
      <c r="K2" s="742"/>
      <c r="L2" s="742"/>
      <c r="M2" s="742"/>
    </row>
    <row r="3" spans="1:14" ht="31.5" customHeight="1" x14ac:dyDescent="0.25">
      <c r="B3" s="1379"/>
      <c r="C3" s="1379"/>
      <c r="D3" s="1379"/>
      <c r="E3" s="1379"/>
      <c r="F3" s="744" t="s">
        <v>990</v>
      </c>
      <c r="G3" s="1374" t="s">
        <v>1289</v>
      </c>
      <c r="H3" s="1375"/>
      <c r="I3" s="1375"/>
      <c r="J3" s="1375"/>
      <c r="K3" s="1375"/>
      <c r="L3" s="1375"/>
      <c r="M3" s="1376"/>
    </row>
    <row r="4" spans="1:14" s="287" customFormat="1" ht="48.6" customHeight="1" x14ac:dyDescent="0.25">
      <c r="A4" s="430"/>
      <c r="B4" s="743" t="s">
        <v>121</v>
      </c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430"/>
    </row>
    <row r="5" spans="1:14" ht="13.9" customHeight="1" thickBot="1" x14ac:dyDescent="0.3">
      <c r="A5" s="430"/>
      <c r="B5" s="431"/>
      <c r="C5" s="432"/>
      <c r="D5" s="432"/>
      <c r="E5" s="432"/>
      <c r="F5" s="432"/>
      <c r="G5" s="432"/>
      <c r="H5" s="432"/>
      <c r="I5" s="432"/>
      <c r="J5" s="432"/>
      <c r="K5" s="432"/>
      <c r="L5" s="432">
        <f>COUT!N6</f>
        <v>0</v>
      </c>
      <c r="M5" s="1372" t="str">
        <f>COUT!O6</f>
        <v>Coût des matières premières                  (€ /tonne)</v>
      </c>
      <c r="N5" s="430"/>
    </row>
    <row r="6" spans="1:14" ht="19.5" customHeight="1" x14ac:dyDescent="0.25">
      <c r="A6" s="430"/>
      <c r="B6" s="1380" t="str">
        <f>COUT!B7</f>
        <v>Quantités     kg</v>
      </c>
      <c r="C6" s="1377" t="str">
        <f>COUT!C7</f>
        <v>Matières premières</v>
      </c>
      <c r="D6" s="1382" t="str">
        <f>COUT!E7</f>
        <v>Valeurs alimentaires</v>
      </c>
      <c r="E6" s="1383"/>
      <c r="F6" s="1383"/>
      <c r="G6" s="1383"/>
      <c r="H6" s="1383"/>
      <c r="I6" s="1383"/>
      <c r="J6" s="1383"/>
      <c r="K6" s="1384"/>
      <c r="L6" s="433"/>
      <c r="M6" s="1372"/>
      <c r="N6" s="430"/>
    </row>
    <row r="7" spans="1:14" ht="20.25" customHeight="1" x14ac:dyDescent="0.25">
      <c r="A7" s="430"/>
      <c r="B7" s="1381"/>
      <c r="C7" s="1378"/>
      <c r="D7" s="434" t="str">
        <f>COUT!E8</f>
        <v>%</v>
      </c>
      <c r="E7" s="434" t="str">
        <f>COUT!F8</f>
        <v>UFL</v>
      </c>
      <c r="F7" s="434" t="str">
        <f>COUT!H8</f>
        <v>PDIN</v>
      </c>
      <c r="G7" s="434" t="str">
        <f>COUT!I8</f>
        <v>PDIE</v>
      </c>
      <c r="H7" s="434" t="str">
        <f>COUT!J8</f>
        <v>Pabs</v>
      </c>
      <c r="I7" s="1011" t="str">
        <f>COUT!K8</f>
        <v>Caabs</v>
      </c>
      <c r="J7" s="434" t="s">
        <v>1238</v>
      </c>
      <c r="K7" s="435" t="s">
        <v>1241</v>
      </c>
      <c r="L7" s="433"/>
      <c r="M7" s="1372"/>
      <c r="N7" s="430"/>
    </row>
    <row r="8" spans="1:14" ht="15" customHeight="1" thickBot="1" x14ac:dyDescent="0.3">
      <c r="A8" s="430"/>
      <c r="B8" s="1365" t="str">
        <f>IF(COUT!B9="","",COUT!B9)</f>
        <v/>
      </c>
      <c r="C8" s="1367" t="str">
        <f>IF(COUT!D9="","",COUT!D9)</f>
        <v/>
      </c>
      <c r="D8" s="1369" t="str">
        <f>COUT!E9</f>
        <v/>
      </c>
      <c r="E8" s="436" t="str">
        <f>COUT!F9</f>
        <v/>
      </c>
      <c r="F8" s="436" t="str">
        <f>COUT!H9</f>
        <v/>
      </c>
      <c r="G8" s="436" t="str">
        <f>COUT!I9</f>
        <v/>
      </c>
      <c r="H8" s="436" t="str">
        <f>COUT!J9</f>
        <v/>
      </c>
      <c r="I8" s="1012" t="str">
        <f>COUT!K9</f>
        <v/>
      </c>
      <c r="J8" s="1012" t="str">
        <f>COUT!L9</f>
        <v/>
      </c>
      <c r="K8" s="437" t="str">
        <f>COUT!M9</f>
        <v/>
      </c>
      <c r="L8" s="438"/>
      <c r="M8" s="1373"/>
      <c r="N8" s="430"/>
    </row>
    <row r="9" spans="1:14" ht="30" customHeight="1" thickBot="1" x14ac:dyDescent="0.3">
      <c r="A9" s="430"/>
      <c r="B9" s="1365"/>
      <c r="C9" s="1367"/>
      <c r="D9" s="1371"/>
      <c r="E9" s="439" t="str">
        <f>COUT!F10</f>
        <v/>
      </c>
      <c r="F9" s="440" t="str">
        <f>COUT!H10</f>
        <v/>
      </c>
      <c r="G9" s="440" t="str">
        <f>COUT!I10</f>
        <v/>
      </c>
      <c r="H9" s="441" t="str">
        <f>COUT!J10</f>
        <v/>
      </c>
      <c r="I9" s="1013" t="str">
        <f>COUT!K10</f>
        <v/>
      </c>
      <c r="J9" s="1013" t="str">
        <f>COUT!L10</f>
        <v/>
      </c>
      <c r="K9" s="442" t="str">
        <f>COUT!M10</f>
        <v/>
      </c>
      <c r="L9" s="443"/>
      <c r="M9" s="483">
        <f>COUT!O10</f>
        <v>0</v>
      </c>
      <c r="N9" s="430"/>
    </row>
    <row r="10" spans="1:14" ht="15" customHeight="1" thickBot="1" x14ac:dyDescent="0.3">
      <c r="A10" s="430"/>
      <c r="B10" s="1365" t="str">
        <f>IF(COUT!B11="","",COUT!B11)</f>
        <v/>
      </c>
      <c r="C10" s="1367" t="str">
        <f>IF(COUT!D11="","",COUT!D11)</f>
        <v/>
      </c>
      <c r="D10" s="1369" t="str">
        <f>COUT!E11</f>
        <v/>
      </c>
      <c r="E10" s="436" t="str">
        <f>COUT!F11</f>
        <v/>
      </c>
      <c r="F10" s="436" t="str">
        <f>COUT!H11</f>
        <v/>
      </c>
      <c r="G10" s="436" t="str">
        <f>COUT!I11</f>
        <v/>
      </c>
      <c r="H10" s="436" t="str">
        <f>COUT!J11</f>
        <v/>
      </c>
      <c r="I10" s="1012" t="str">
        <f>COUT!K11</f>
        <v/>
      </c>
      <c r="J10" s="1012" t="str">
        <f>COUT!L11</f>
        <v/>
      </c>
      <c r="K10" s="437" t="str">
        <f>COUT!M11</f>
        <v/>
      </c>
      <c r="L10" s="438"/>
      <c r="M10" s="484"/>
      <c r="N10" s="430"/>
    </row>
    <row r="11" spans="1:14" ht="30" customHeight="1" thickBot="1" x14ac:dyDescent="0.3">
      <c r="A11" s="430"/>
      <c r="B11" s="1365"/>
      <c r="C11" s="1367"/>
      <c r="D11" s="1371"/>
      <c r="E11" s="439" t="str">
        <f>COUT!F12</f>
        <v/>
      </c>
      <c r="F11" s="440" t="str">
        <f>COUT!H12</f>
        <v/>
      </c>
      <c r="G11" s="440" t="str">
        <f>COUT!I12</f>
        <v/>
      </c>
      <c r="H11" s="441" t="str">
        <f>COUT!J12</f>
        <v/>
      </c>
      <c r="I11" s="1013" t="str">
        <f>COUT!K12</f>
        <v/>
      </c>
      <c r="J11" s="1013" t="str">
        <f>COUT!L12</f>
        <v/>
      </c>
      <c r="K11" s="442" t="str">
        <f>COUT!M12</f>
        <v/>
      </c>
      <c r="L11" s="443"/>
      <c r="M11" s="483">
        <f>COUT!O12</f>
        <v>0</v>
      </c>
      <c r="N11" s="430"/>
    </row>
    <row r="12" spans="1:14" ht="15" customHeight="1" thickBot="1" x14ac:dyDescent="0.3">
      <c r="A12" s="430"/>
      <c r="B12" s="1365" t="str">
        <f>IF(COUT!B13="","",COUT!B13)</f>
        <v/>
      </c>
      <c r="C12" s="1367" t="str">
        <f>IF(COUT!D13="","",COUT!D13)</f>
        <v/>
      </c>
      <c r="D12" s="1369" t="str">
        <f>COUT!E13</f>
        <v/>
      </c>
      <c r="E12" s="436" t="str">
        <f>COUT!F13</f>
        <v/>
      </c>
      <c r="F12" s="436" t="str">
        <f>COUT!H13</f>
        <v/>
      </c>
      <c r="G12" s="436" t="str">
        <f>COUT!I13</f>
        <v/>
      </c>
      <c r="H12" s="436" t="str">
        <f>COUT!J13</f>
        <v/>
      </c>
      <c r="I12" s="1012" t="str">
        <f>COUT!K13</f>
        <v/>
      </c>
      <c r="J12" s="1012" t="str">
        <f>COUT!L13</f>
        <v/>
      </c>
      <c r="K12" s="437" t="str">
        <f>COUT!M13</f>
        <v/>
      </c>
      <c r="L12" s="438"/>
      <c r="M12" s="484"/>
      <c r="N12" s="430"/>
    </row>
    <row r="13" spans="1:14" ht="30" customHeight="1" thickBot="1" x14ac:dyDescent="0.3">
      <c r="A13" s="430"/>
      <c r="B13" s="1365"/>
      <c r="C13" s="1367"/>
      <c r="D13" s="1371"/>
      <c r="E13" s="439" t="str">
        <f>COUT!F14</f>
        <v/>
      </c>
      <c r="F13" s="440" t="str">
        <f>COUT!H14</f>
        <v/>
      </c>
      <c r="G13" s="440" t="str">
        <f>COUT!I14</f>
        <v/>
      </c>
      <c r="H13" s="441" t="str">
        <f>COUT!J14</f>
        <v/>
      </c>
      <c r="I13" s="1013" t="str">
        <f>COUT!K14</f>
        <v/>
      </c>
      <c r="J13" s="1013" t="str">
        <f>COUT!L14</f>
        <v/>
      </c>
      <c r="K13" s="442" t="str">
        <f>COUT!M14</f>
        <v/>
      </c>
      <c r="L13" s="443"/>
      <c r="M13" s="483">
        <f>COUT!O14</f>
        <v>0</v>
      </c>
      <c r="N13" s="430"/>
    </row>
    <row r="14" spans="1:14" ht="15" customHeight="1" thickBot="1" x14ac:dyDescent="0.3">
      <c r="A14" s="430"/>
      <c r="B14" s="1365" t="str">
        <f>IF(COUT!B15="","",COUT!B15)</f>
        <v/>
      </c>
      <c r="C14" s="1367" t="str">
        <f>IF(COUT!D15="","",COUT!D15)</f>
        <v/>
      </c>
      <c r="D14" s="1369" t="str">
        <f>COUT!E15</f>
        <v/>
      </c>
      <c r="E14" s="436" t="str">
        <f>COUT!F15</f>
        <v/>
      </c>
      <c r="F14" s="436" t="str">
        <f>COUT!H15</f>
        <v/>
      </c>
      <c r="G14" s="436" t="str">
        <f>COUT!I15</f>
        <v/>
      </c>
      <c r="H14" s="436" t="str">
        <f>COUT!J15</f>
        <v/>
      </c>
      <c r="I14" s="1012" t="str">
        <f>COUT!K15</f>
        <v/>
      </c>
      <c r="J14" s="1012" t="str">
        <f>COUT!L15</f>
        <v/>
      </c>
      <c r="K14" s="437" t="str">
        <f>COUT!M15</f>
        <v/>
      </c>
      <c r="L14" s="438"/>
      <c r="M14" s="484"/>
      <c r="N14" s="430"/>
    </row>
    <row r="15" spans="1:14" ht="30" customHeight="1" thickBot="1" x14ac:dyDescent="0.3">
      <c r="A15" s="430"/>
      <c r="B15" s="1365"/>
      <c r="C15" s="1367"/>
      <c r="D15" s="1371"/>
      <c r="E15" s="439" t="str">
        <f>COUT!F16</f>
        <v/>
      </c>
      <c r="F15" s="440" t="str">
        <f>COUT!H16</f>
        <v/>
      </c>
      <c r="G15" s="440" t="str">
        <f>COUT!I16</f>
        <v/>
      </c>
      <c r="H15" s="441" t="str">
        <f>COUT!J16</f>
        <v/>
      </c>
      <c r="I15" s="1013" t="str">
        <f>COUT!K16</f>
        <v/>
      </c>
      <c r="J15" s="1013" t="str">
        <f>COUT!L16</f>
        <v/>
      </c>
      <c r="K15" s="442" t="str">
        <f>COUT!M16</f>
        <v/>
      </c>
      <c r="L15" s="443"/>
      <c r="M15" s="483">
        <f>COUT!O16</f>
        <v>0</v>
      </c>
      <c r="N15" s="430"/>
    </row>
    <row r="16" spans="1:14" s="366" customFormat="1" ht="15" customHeight="1" thickBot="1" x14ac:dyDescent="0.3">
      <c r="A16" s="430"/>
      <c r="B16" s="1365" t="str">
        <f>IF(COUT!B17="","",COUT!B17)</f>
        <v/>
      </c>
      <c r="C16" s="1367" t="str">
        <f>IF(COUT!D17="","",COUT!D17)</f>
        <v/>
      </c>
      <c r="D16" s="1369" t="str">
        <f>COUT!E17</f>
        <v/>
      </c>
      <c r="E16" s="436" t="str">
        <f>COUT!F17</f>
        <v/>
      </c>
      <c r="F16" s="436" t="str">
        <f>COUT!H17</f>
        <v/>
      </c>
      <c r="G16" s="436" t="str">
        <f>COUT!I17</f>
        <v/>
      </c>
      <c r="H16" s="436" t="str">
        <f>COUT!J17</f>
        <v/>
      </c>
      <c r="I16" s="1012" t="str">
        <f>COUT!K17</f>
        <v/>
      </c>
      <c r="J16" s="1012" t="str">
        <f>COUT!L17</f>
        <v/>
      </c>
      <c r="K16" s="437" t="str">
        <f>COUT!M17</f>
        <v/>
      </c>
      <c r="L16" s="438"/>
      <c r="M16" s="484"/>
      <c r="N16" s="430"/>
    </row>
    <row r="17" spans="1:14" s="366" customFormat="1" ht="30" customHeight="1" thickBot="1" x14ac:dyDescent="0.3">
      <c r="A17" s="430"/>
      <c r="B17" s="1365"/>
      <c r="C17" s="1367"/>
      <c r="D17" s="1371"/>
      <c r="E17" s="439" t="str">
        <f>COUT!F18</f>
        <v/>
      </c>
      <c r="F17" s="440" t="str">
        <f>COUT!H18</f>
        <v/>
      </c>
      <c r="G17" s="440" t="str">
        <f>COUT!I18</f>
        <v/>
      </c>
      <c r="H17" s="441" t="str">
        <f>COUT!J18</f>
        <v/>
      </c>
      <c r="I17" s="1013" t="str">
        <f>COUT!K18</f>
        <v/>
      </c>
      <c r="J17" s="1013" t="str">
        <f>COUT!L18</f>
        <v/>
      </c>
      <c r="K17" s="442" t="str">
        <f>COUT!M18</f>
        <v/>
      </c>
      <c r="L17" s="443"/>
      <c r="M17" s="483">
        <f>COUT!O18</f>
        <v>0</v>
      </c>
      <c r="N17" s="430"/>
    </row>
    <row r="18" spans="1:14" ht="15" customHeight="1" thickBot="1" x14ac:dyDescent="0.3">
      <c r="A18" s="430"/>
      <c r="B18" s="1365" t="str">
        <f>IF(COUT!B19="","",COUT!B19)</f>
        <v/>
      </c>
      <c r="C18" s="1367" t="str">
        <f>IF(COUT!D19="","",COUT!D19)</f>
        <v/>
      </c>
      <c r="D18" s="1369" t="str">
        <f>COUT!E19</f>
        <v/>
      </c>
      <c r="E18" s="436" t="str">
        <f>COUT!F19</f>
        <v/>
      </c>
      <c r="F18" s="436" t="str">
        <f>COUT!H19</f>
        <v/>
      </c>
      <c r="G18" s="436" t="str">
        <f>COUT!I19</f>
        <v/>
      </c>
      <c r="H18" s="436" t="str">
        <f>COUT!J19</f>
        <v/>
      </c>
      <c r="I18" s="1012" t="str">
        <f>COUT!K19</f>
        <v/>
      </c>
      <c r="J18" s="1012" t="str">
        <f>COUT!L19</f>
        <v/>
      </c>
      <c r="K18" s="437" t="str">
        <f>COUT!M19</f>
        <v/>
      </c>
      <c r="L18" s="438"/>
      <c r="M18" s="484"/>
      <c r="N18" s="430"/>
    </row>
    <row r="19" spans="1:14" ht="30" customHeight="1" thickBot="1" x14ac:dyDescent="0.3">
      <c r="A19" s="430"/>
      <c r="B19" s="1366"/>
      <c r="C19" s="1368"/>
      <c r="D19" s="1370"/>
      <c r="E19" s="444" t="str">
        <f>COUT!F20</f>
        <v/>
      </c>
      <c r="F19" s="445" t="str">
        <f>COUT!H20</f>
        <v/>
      </c>
      <c r="G19" s="445" t="str">
        <f>COUT!I20</f>
        <v/>
      </c>
      <c r="H19" s="446" t="str">
        <f>COUT!J20</f>
        <v/>
      </c>
      <c r="I19" s="1014" t="str">
        <f>COUT!K20</f>
        <v/>
      </c>
      <c r="J19" s="1014" t="str">
        <f>COUT!L20</f>
        <v/>
      </c>
      <c r="K19" s="447" t="str">
        <f>COUT!M20</f>
        <v/>
      </c>
      <c r="L19" s="443"/>
      <c r="M19" s="485">
        <f>COUT!O20</f>
        <v>0</v>
      </c>
      <c r="N19" s="430"/>
    </row>
    <row r="20" spans="1:14" ht="9" customHeight="1" x14ac:dyDescent="0.25">
      <c r="A20" s="430"/>
      <c r="B20" s="431"/>
      <c r="C20" s="430"/>
      <c r="D20" s="430"/>
      <c r="E20" s="430"/>
      <c r="F20" s="430"/>
      <c r="G20" s="430"/>
      <c r="H20" s="430"/>
      <c r="I20" s="430"/>
      <c r="J20" s="430"/>
      <c r="K20" s="430"/>
      <c r="L20" s="448"/>
      <c r="M20" s="486"/>
      <c r="N20" s="430"/>
    </row>
    <row r="21" spans="1:14" ht="15" customHeight="1" thickBot="1" x14ac:dyDescent="0.3">
      <c r="A21" s="430"/>
      <c r="B21" s="431"/>
      <c r="C21" s="430"/>
      <c r="D21" s="430"/>
      <c r="E21" s="430"/>
      <c r="F21" s="430"/>
      <c r="G21" s="430"/>
      <c r="H21" s="430"/>
      <c r="I21" s="430"/>
      <c r="J21" s="430"/>
      <c r="K21" s="430"/>
      <c r="L21" s="448"/>
      <c r="M21" s="487" t="str">
        <f>COUT!O22</f>
        <v>COUT € / kg</v>
      </c>
      <c r="N21" s="430"/>
    </row>
    <row r="22" spans="1:14" ht="30" customHeight="1" thickBot="1" x14ac:dyDescent="0.3">
      <c r="A22" s="430"/>
      <c r="B22" s="449">
        <f>COUT!B23</f>
        <v>0</v>
      </c>
      <c r="C22" s="450" t="str">
        <f>COUT!D23</f>
        <v>Mon aliment</v>
      </c>
      <c r="D22" s="451" t="str">
        <f>COUT!E23</f>
        <v/>
      </c>
      <c r="E22" s="452" t="str">
        <f>COUT!F23</f>
        <v/>
      </c>
      <c r="F22" s="453" t="str">
        <f>COUT!H23</f>
        <v/>
      </c>
      <c r="G22" s="453" t="str">
        <f>COUT!I23</f>
        <v/>
      </c>
      <c r="H22" s="454" t="str">
        <f>COUT!J23</f>
        <v/>
      </c>
      <c r="I22" s="454" t="str">
        <f>COUT!K23</f>
        <v/>
      </c>
      <c r="J22" s="454" t="str">
        <f>COUT!L23</f>
        <v/>
      </c>
      <c r="K22" s="454" t="str">
        <f>COUT!M23</f>
        <v/>
      </c>
      <c r="L22" s="455">
        <f>COUT!N23</f>
        <v>0</v>
      </c>
      <c r="M22" s="984" t="str">
        <f>COUT!O23</f>
        <v/>
      </c>
      <c r="N22" s="430"/>
    </row>
    <row r="23" spans="1:14" x14ac:dyDescent="0.25">
      <c r="A23" s="430"/>
      <c r="B23" s="430"/>
      <c r="C23" s="431"/>
      <c r="D23" s="430"/>
      <c r="E23" s="430"/>
      <c r="F23" s="430"/>
      <c r="G23" s="430"/>
      <c r="H23" s="430"/>
      <c r="I23" s="430"/>
      <c r="J23" s="430"/>
      <c r="K23" s="430"/>
      <c r="L23" s="448"/>
      <c r="M23" s="430"/>
      <c r="N23" s="430"/>
    </row>
    <row r="24" spans="1:14" x14ac:dyDescent="0.25">
      <c r="A24" s="430"/>
      <c r="B24" s="430"/>
      <c r="C24" s="430"/>
      <c r="D24" s="430"/>
      <c r="E24" s="430"/>
      <c r="F24" s="430"/>
      <c r="G24" s="430"/>
      <c r="H24" s="430"/>
      <c r="I24" s="430"/>
      <c r="J24" s="430"/>
      <c r="K24" s="430"/>
      <c r="L24" s="448"/>
      <c r="M24" s="430"/>
      <c r="N24" s="430"/>
    </row>
    <row r="25" spans="1:14" ht="15" hidden="1" customHeight="1" outlineLevel="1" x14ac:dyDescent="0.2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48"/>
      <c r="M25" s="430"/>
      <c r="N25" s="430"/>
    </row>
    <row r="26" spans="1:14" hidden="1" outlineLevel="1" x14ac:dyDescent="0.25">
      <c r="A26" s="456"/>
      <c r="B26" s="456"/>
      <c r="C26" s="457"/>
      <c r="D26" s="456"/>
      <c r="E26" s="456"/>
      <c r="F26" s="456"/>
      <c r="G26" s="456"/>
      <c r="H26" s="456"/>
      <c r="I26" s="456"/>
      <c r="J26" s="456"/>
      <c r="K26" s="456"/>
      <c r="L26" s="458"/>
      <c r="M26" s="456"/>
      <c r="N26" s="456"/>
    </row>
    <row r="27" spans="1:14" ht="18" hidden="1" outlineLevel="1" x14ac:dyDescent="0.35">
      <c r="A27" s="456"/>
      <c r="B27" s="456"/>
      <c r="C27" s="285" t="s">
        <v>1</v>
      </c>
      <c r="D27" s="459" t="s">
        <v>70</v>
      </c>
      <c r="E27" s="460" t="s">
        <v>48</v>
      </c>
      <c r="F27" s="460" t="s">
        <v>42</v>
      </c>
      <c r="G27" s="460" t="s">
        <v>43</v>
      </c>
      <c r="H27" s="460" t="s">
        <v>521</v>
      </c>
      <c r="I27" s="460" t="s">
        <v>522</v>
      </c>
      <c r="J27" s="1008"/>
      <c r="K27" s="1008"/>
      <c r="L27" s="458"/>
      <c r="M27" s="456"/>
      <c r="N27" s="456"/>
    </row>
    <row r="28" spans="1:14" hidden="1" outlineLevel="1" x14ac:dyDescent="0.25">
      <c r="A28" s="456"/>
      <c r="B28" s="456"/>
      <c r="C28" s="285" t="s">
        <v>427</v>
      </c>
      <c r="D28" s="459"/>
      <c r="E28" s="285" t="e">
        <f>#REF!</f>
        <v>#REF!</v>
      </c>
      <c r="F28" s="285" t="e">
        <f>#REF!</f>
        <v>#REF!</v>
      </c>
      <c r="G28" s="285" t="e">
        <f>#REF!</f>
        <v>#REF!</v>
      </c>
      <c r="H28" s="285" t="e">
        <f>#REF!</f>
        <v>#REF!</v>
      </c>
      <c r="I28" s="285" t="e">
        <f>#REF!</f>
        <v>#REF!</v>
      </c>
      <c r="J28" s="448"/>
      <c r="K28" s="448"/>
      <c r="L28" s="461"/>
      <c r="M28" s="456"/>
      <c r="N28" s="456"/>
    </row>
    <row r="29" spans="1:14" hidden="1" outlineLevel="1" x14ac:dyDescent="0.25">
      <c r="A29" s="456"/>
      <c r="B29" s="456"/>
      <c r="C29" s="285" t="s">
        <v>428</v>
      </c>
      <c r="D29" s="459"/>
      <c r="E29" s="285" t="e">
        <f>#REF!</f>
        <v>#REF!</v>
      </c>
      <c r="F29" s="285" t="e">
        <f>#REF!</f>
        <v>#REF!</v>
      </c>
      <c r="G29" s="285" t="e">
        <f>#REF!</f>
        <v>#REF!</v>
      </c>
      <c r="H29" s="285" t="e">
        <f>#REF!</f>
        <v>#REF!</v>
      </c>
      <c r="I29" s="285" t="e">
        <f>#REF!</f>
        <v>#REF!</v>
      </c>
      <c r="J29" s="448"/>
      <c r="K29" s="448"/>
      <c r="L29" s="461"/>
      <c r="M29" s="456"/>
      <c r="N29" s="456"/>
    </row>
    <row r="30" spans="1:14" hidden="1" outlineLevel="1" x14ac:dyDescent="0.25">
      <c r="A30" s="456"/>
      <c r="B30" s="456"/>
      <c r="C30" s="285" t="s">
        <v>58</v>
      </c>
      <c r="D30" s="285"/>
      <c r="E30" s="462">
        <v>0.77</v>
      </c>
      <c r="F30" s="285">
        <v>61</v>
      </c>
      <c r="G30" s="285">
        <v>61</v>
      </c>
      <c r="H30" s="463">
        <v>2.7</v>
      </c>
      <c r="I30" s="463">
        <v>0.7</v>
      </c>
      <c r="J30" s="1009"/>
      <c r="K30" s="1009"/>
      <c r="L30" s="464"/>
      <c r="M30" s="456"/>
      <c r="N30" s="456"/>
    </row>
    <row r="31" spans="1:14" hidden="1" outlineLevel="1" x14ac:dyDescent="0.25">
      <c r="A31" s="456"/>
      <c r="B31" s="456"/>
      <c r="C31" s="285" t="s">
        <v>441</v>
      </c>
      <c r="D31" s="285"/>
      <c r="E31" s="285">
        <v>0</v>
      </c>
      <c r="F31" s="285">
        <v>0</v>
      </c>
      <c r="G31" s="285">
        <v>0</v>
      </c>
      <c r="H31" s="285">
        <v>0</v>
      </c>
      <c r="I31" s="285">
        <v>0</v>
      </c>
      <c r="J31" s="448"/>
      <c r="K31" s="448"/>
      <c r="L31" s="461"/>
      <c r="M31" s="456"/>
      <c r="N31" s="456"/>
    </row>
    <row r="32" spans="1:14" hidden="1" outlineLevel="1" x14ac:dyDescent="0.25">
      <c r="A32" s="456"/>
      <c r="B32" s="456"/>
      <c r="C32" s="285" t="s">
        <v>51</v>
      </c>
      <c r="D32" s="285"/>
      <c r="E32" s="462">
        <v>1.02</v>
      </c>
      <c r="F32" s="285">
        <v>70</v>
      </c>
      <c r="G32" s="285">
        <v>89</v>
      </c>
      <c r="H32" s="463">
        <v>2.6</v>
      </c>
      <c r="I32" s="463">
        <v>0.4</v>
      </c>
      <c r="J32" s="1009"/>
      <c r="K32" s="1009"/>
      <c r="L32" s="461"/>
      <c r="M32" s="456"/>
      <c r="N32" s="456"/>
    </row>
    <row r="33" spans="1:14" hidden="1" outlineLevel="1" x14ac:dyDescent="0.25">
      <c r="A33" s="456"/>
      <c r="B33" s="456"/>
      <c r="C33" s="284" t="s">
        <v>435</v>
      </c>
      <c r="D33" s="285"/>
      <c r="E33" s="284">
        <v>0</v>
      </c>
      <c r="F33" s="284">
        <v>0</v>
      </c>
      <c r="G33" s="284">
        <v>0</v>
      </c>
      <c r="H33" s="284">
        <v>0</v>
      </c>
      <c r="I33" s="284">
        <v>150</v>
      </c>
      <c r="J33" s="448"/>
      <c r="K33" s="448"/>
      <c r="L33" s="461"/>
      <c r="M33" s="456"/>
      <c r="N33" s="456"/>
    </row>
    <row r="34" spans="1:14" hidden="1" outlineLevel="1" x14ac:dyDescent="0.25">
      <c r="A34" s="456"/>
      <c r="B34" s="456"/>
      <c r="C34" s="285" t="s">
        <v>442</v>
      </c>
      <c r="D34" s="459"/>
      <c r="E34" s="285">
        <v>0</v>
      </c>
      <c r="F34" s="285">
        <v>0</v>
      </c>
      <c r="G34" s="285">
        <v>0</v>
      </c>
      <c r="H34" s="285">
        <v>0</v>
      </c>
      <c r="I34" s="285">
        <v>108</v>
      </c>
      <c r="J34" s="448"/>
      <c r="K34" s="448"/>
      <c r="L34" s="461"/>
      <c r="M34" s="456"/>
      <c r="N34" s="456"/>
    </row>
    <row r="35" spans="1:14" hidden="1" outlineLevel="1" x14ac:dyDescent="0.25">
      <c r="A35" s="456"/>
      <c r="B35" s="456"/>
      <c r="C35" s="286" t="s">
        <v>443</v>
      </c>
      <c r="D35" s="459"/>
      <c r="E35" s="286">
        <v>0</v>
      </c>
      <c r="F35" s="286">
        <v>0</v>
      </c>
      <c r="G35" s="286">
        <v>0</v>
      </c>
      <c r="H35" s="286">
        <v>65</v>
      </c>
      <c r="I35" s="286">
        <v>80</v>
      </c>
      <c r="J35" s="448"/>
      <c r="K35" s="448"/>
      <c r="L35" s="461"/>
      <c r="M35" s="456"/>
      <c r="N35" s="456"/>
    </row>
    <row r="36" spans="1:14" hidden="1" outlineLevel="1" x14ac:dyDescent="0.25">
      <c r="A36" s="456"/>
      <c r="B36" s="456"/>
      <c r="C36" s="285" t="s">
        <v>444</v>
      </c>
      <c r="D36" s="459"/>
      <c r="E36" s="285">
        <v>0</v>
      </c>
      <c r="F36" s="285">
        <v>0</v>
      </c>
      <c r="G36" s="285">
        <v>0</v>
      </c>
      <c r="H36" s="285">
        <v>65</v>
      </c>
      <c r="I36" s="285">
        <v>24</v>
      </c>
      <c r="J36" s="448"/>
      <c r="K36" s="448"/>
      <c r="L36" s="461"/>
      <c r="M36" s="456"/>
      <c r="N36" s="456"/>
    </row>
    <row r="37" spans="1:14" hidden="1" outlineLevel="1" x14ac:dyDescent="0.25">
      <c r="A37" s="456"/>
      <c r="B37" s="456"/>
      <c r="C37" s="285" t="s">
        <v>445</v>
      </c>
      <c r="D37" s="459"/>
      <c r="E37" s="285">
        <v>0</v>
      </c>
      <c r="F37" s="285">
        <v>0</v>
      </c>
      <c r="G37" s="285">
        <v>0</v>
      </c>
      <c r="H37" s="285">
        <v>78</v>
      </c>
      <c r="I37" s="285">
        <v>48</v>
      </c>
      <c r="J37" s="448"/>
      <c r="K37" s="448"/>
      <c r="L37" s="461"/>
      <c r="M37" s="456"/>
      <c r="N37" s="456"/>
    </row>
    <row r="38" spans="1:14" hidden="1" outlineLevel="1" x14ac:dyDescent="0.25">
      <c r="A38" s="456"/>
      <c r="B38" s="456"/>
      <c r="C38" s="285" t="s">
        <v>445</v>
      </c>
      <c r="D38" s="459"/>
      <c r="E38" s="285">
        <v>0</v>
      </c>
      <c r="F38" s="285">
        <v>0</v>
      </c>
      <c r="G38" s="285">
        <v>0</v>
      </c>
      <c r="H38" s="285">
        <v>78</v>
      </c>
      <c r="I38" s="285">
        <v>48</v>
      </c>
      <c r="J38" s="448"/>
      <c r="K38" s="448"/>
      <c r="L38" s="461"/>
      <c r="M38" s="456"/>
      <c r="N38" s="456"/>
    </row>
    <row r="39" spans="1:14" hidden="1" outlineLevel="1" x14ac:dyDescent="0.25">
      <c r="A39" s="456"/>
      <c r="B39" s="456"/>
      <c r="C39" s="465" t="s">
        <v>446</v>
      </c>
      <c r="D39" s="285"/>
      <c r="E39" s="285">
        <v>0</v>
      </c>
      <c r="F39" s="285">
        <v>0</v>
      </c>
      <c r="G39" s="285">
        <v>0</v>
      </c>
      <c r="H39" s="285">
        <v>26</v>
      </c>
      <c r="I39" s="285">
        <v>84</v>
      </c>
      <c r="J39" s="448"/>
      <c r="K39" s="448"/>
      <c r="L39" s="461"/>
      <c r="M39" s="456"/>
      <c r="N39" s="456"/>
    </row>
    <row r="40" spans="1:14" hidden="1" outlineLevel="1" x14ac:dyDescent="0.25">
      <c r="A40" s="456"/>
      <c r="B40" s="456"/>
      <c r="C40" s="465" t="s">
        <v>447</v>
      </c>
      <c r="D40" s="285"/>
      <c r="E40" s="285">
        <v>0</v>
      </c>
      <c r="F40" s="285">
        <v>0</v>
      </c>
      <c r="G40" s="285">
        <v>0</v>
      </c>
      <c r="H40" s="285">
        <v>32</v>
      </c>
      <c r="I40" s="285">
        <v>80</v>
      </c>
      <c r="J40" s="448"/>
      <c r="K40" s="448"/>
      <c r="L40" s="461"/>
      <c r="M40" s="456"/>
      <c r="N40" s="456"/>
    </row>
    <row r="41" spans="1:14" hidden="1" outlineLevel="1" x14ac:dyDescent="0.25">
      <c r="A41" s="456"/>
      <c r="B41" s="456"/>
      <c r="C41" s="465" t="s">
        <v>448</v>
      </c>
      <c r="D41" s="285"/>
      <c r="E41" s="285">
        <v>0</v>
      </c>
      <c r="F41" s="285">
        <v>0</v>
      </c>
      <c r="G41" s="285">
        <v>0</v>
      </c>
      <c r="H41" s="285">
        <v>32</v>
      </c>
      <c r="I41" s="285">
        <v>100</v>
      </c>
      <c r="J41" s="448"/>
      <c r="K41" s="448"/>
      <c r="L41" s="461"/>
      <c r="M41" s="456"/>
      <c r="N41" s="456"/>
    </row>
    <row r="42" spans="1:14" hidden="1" outlineLevel="1" x14ac:dyDescent="0.25">
      <c r="A42" s="456"/>
      <c r="B42" s="456"/>
      <c r="C42" s="285" t="s">
        <v>449</v>
      </c>
      <c r="D42" s="285"/>
      <c r="E42" s="285">
        <v>0</v>
      </c>
      <c r="F42" s="285">
        <v>0</v>
      </c>
      <c r="G42" s="285">
        <v>0</v>
      </c>
      <c r="H42" s="285">
        <v>39</v>
      </c>
      <c r="I42" s="285">
        <v>24</v>
      </c>
      <c r="J42" s="448"/>
      <c r="K42" s="448"/>
      <c r="L42" s="461"/>
      <c r="M42" s="456"/>
      <c r="N42" s="456"/>
    </row>
    <row r="43" spans="1:14" hidden="1" outlineLevel="1" x14ac:dyDescent="0.25">
      <c r="A43" s="456"/>
      <c r="B43" s="456"/>
      <c r="C43" s="285" t="s">
        <v>450</v>
      </c>
      <c r="D43" s="285"/>
      <c r="E43" s="285">
        <v>0</v>
      </c>
      <c r="F43" s="285">
        <v>0</v>
      </c>
      <c r="G43" s="285">
        <v>0</v>
      </c>
      <c r="H43" s="285">
        <v>15</v>
      </c>
      <c r="I43" s="285">
        <v>84</v>
      </c>
      <c r="J43" s="448"/>
      <c r="K43" s="448"/>
      <c r="L43" s="461"/>
      <c r="M43" s="456"/>
      <c r="N43" s="456"/>
    </row>
    <row r="44" spans="1:14" hidden="1" outlineLevel="1" x14ac:dyDescent="0.25">
      <c r="A44" s="456"/>
      <c r="B44" s="456"/>
      <c r="C44" s="285" t="s">
        <v>451</v>
      </c>
      <c r="D44" s="285"/>
      <c r="E44" s="285">
        <v>0</v>
      </c>
      <c r="F44" s="285">
        <v>0</v>
      </c>
      <c r="G44" s="285">
        <v>0</v>
      </c>
      <c r="H44" s="285">
        <v>52</v>
      </c>
      <c r="I44" s="285">
        <v>48</v>
      </c>
      <c r="J44" s="448"/>
      <c r="K44" s="448"/>
      <c r="L44" s="466"/>
      <c r="M44" s="456"/>
      <c r="N44" s="456"/>
    </row>
    <row r="45" spans="1:14" hidden="1" outlineLevel="1" x14ac:dyDescent="0.25">
      <c r="A45" s="456"/>
      <c r="B45" s="456"/>
      <c r="C45" s="285" t="s">
        <v>452</v>
      </c>
      <c r="D45" s="285"/>
      <c r="E45" s="285">
        <v>0</v>
      </c>
      <c r="F45" s="285">
        <v>0</v>
      </c>
      <c r="G45" s="285">
        <v>0</v>
      </c>
      <c r="H45" s="285">
        <v>52</v>
      </c>
      <c r="I45" s="285">
        <v>64</v>
      </c>
      <c r="J45" s="448"/>
      <c r="K45" s="448"/>
      <c r="L45" s="461"/>
      <c r="M45" s="456"/>
      <c r="N45" s="456"/>
    </row>
    <row r="46" spans="1:14" hidden="1" outlineLevel="1" x14ac:dyDescent="0.25">
      <c r="A46" s="456"/>
      <c r="B46" s="456"/>
      <c r="C46" s="285" t="s">
        <v>453</v>
      </c>
      <c r="D46" s="285"/>
      <c r="E46" s="285">
        <v>0</v>
      </c>
      <c r="F46" s="285">
        <v>0</v>
      </c>
      <c r="G46" s="285">
        <v>0</v>
      </c>
      <c r="H46" s="285">
        <v>52</v>
      </c>
      <c r="I46" s="285">
        <v>96</v>
      </c>
      <c r="J46" s="448"/>
      <c r="K46" s="448"/>
      <c r="L46" s="461"/>
      <c r="M46" s="456"/>
      <c r="N46" s="456"/>
    </row>
    <row r="47" spans="1:14" hidden="1" outlineLevel="1" x14ac:dyDescent="0.25">
      <c r="A47" s="456"/>
      <c r="B47" s="456"/>
      <c r="C47" s="285" t="s">
        <v>454</v>
      </c>
      <c r="D47" s="285"/>
      <c r="E47" s="285">
        <v>0</v>
      </c>
      <c r="F47" s="285">
        <v>0</v>
      </c>
      <c r="G47" s="285">
        <v>0</v>
      </c>
      <c r="H47" s="285">
        <v>58</v>
      </c>
      <c r="I47" s="285">
        <v>56</v>
      </c>
      <c r="J47" s="448"/>
      <c r="K47" s="448"/>
      <c r="L47" s="461"/>
      <c r="M47" s="456"/>
      <c r="N47" s="456"/>
    </row>
    <row r="48" spans="1:14" hidden="1" outlineLevel="1" x14ac:dyDescent="0.25">
      <c r="A48" s="456"/>
      <c r="B48" s="456"/>
      <c r="C48" s="285" t="s">
        <v>429</v>
      </c>
      <c r="D48" s="459"/>
      <c r="E48" s="285" t="e">
        <f>#REF!</f>
        <v>#REF!</v>
      </c>
      <c r="F48" s="285" t="e">
        <f>#REF!</f>
        <v>#REF!</v>
      </c>
      <c r="G48" s="285" t="e">
        <f>#REF!</f>
        <v>#REF!</v>
      </c>
      <c r="H48" s="285" t="e">
        <f>#REF!</f>
        <v>#REF!</v>
      </c>
      <c r="I48" s="285" t="e">
        <f>#REF!</f>
        <v>#REF!</v>
      </c>
      <c r="J48" s="448"/>
      <c r="K48" s="448"/>
      <c r="L48" s="461"/>
      <c r="M48" s="456"/>
      <c r="N48" s="456"/>
    </row>
    <row r="49" spans="1:14" hidden="1" outlineLevel="1" x14ac:dyDescent="0.25">
      <c r="A49" s="456"/>
      <c r="B49" s="456"/>
      <c r="C49" s="285" t="s">
        <v>239</v>
      </c>
      <c r="D49" s="285"/>
      <c r="E49" s="462">
        <v>0.76</v>
      </c>
      <c r="F49" s="285">
        <v>178</v>
      </c>
      <c r="G49" s="285">
        <v>157</v>
      </c>
      <c r="H49" s="463">
        <v>4.9000000000000004</v>
      </c>
      <c r="I49" s="463">
        <v>1.3</v>
      </c>
      <c r="J49" s="1009"/>
      <c r="K49" s="1009"/>
      <c r="L49" s="461"/>
      <c r="M49" s="456"/>
      <c r="N49" s="456"/>
    </row>
    <row r="50" spans="1:14" hidden="1" outlineLevel="1" x14ac:dyDescent="0.25">
      <c r="A50" s="456"/>
      <c r="B50" s="456"/>
      <c r="C50" s="285" t="s">
        <v>60</v>
      </c>
      <c r="D50" s="285"/>
      <c r="E50" s="462">
        <v>1.03</v>
      </c>
      <c r="F50" s="285">
        <v>170</v>
      </c>
      <c r="G50" s="285">
        <v>97</v>
      </c>
      <c r="H50" s="463">
        <v>4.0999999999999996</v>
      </c>
      <c r="I50" s="463">
        <v>0.9</v>
      </c>
      <c r="J50" s="1009"/>
      <c r="K50" s="1009"/>
      <c r="L50" s="461"/>
      <c r="M50" s="456"/>
      <c r="N50" s="456"/>
    </row>
    <row r="51" spans="1:14" hidden="1" outlineLevel="1" x14ac:dyDescent="0.25">
      <c r="A51" s="456"/>
      <c r="B51" s="456"/>
      <c r="C51" s="285" t="s">
        <v>438</v>
      </c>
      <c r="D51" s="285"/>
      <c r="E51" s="462">
        <v>1.68</v>
      </c>
      <c r="F51" s="285">
        <v>12</v>
      </c>
      <c r="G51" s="285">
        <v>61</v>
      </c>
      <c r="H51" s="463">
        <v>5.3</v>
      </c>
      <c r="I51" s="463">
        <v>2.8</v>
      </c>
      <c r="J51" s="1009"/>
      <c r="K51" s="1009"/>
      <c r="L51" s="466"/>
      <c r="M51" s="456"/>
      <c r="N51" s="456"/>
    </row>
    <row r="52" spans="1:14" hidden="1" outlineLevel="1" x14ac:dyDescent="0.25">
      <c r="A52" s="456"/>
      <c r="B52" s="456"/>
      <c r="C52" s="285" t="s">
        <v>437</v>
      </c>
      <c r="D52" s="285"/>
      <c r="E52" s="462">
        <v>0.94</v>
      </c>
      <c r="F52" s="285">
        <v>131</v>
      </c>
      <c r="G52" s="285">
        <v>77</v>
      </c>
      <c r="H52" s="463">
        <v>5.0999999999999996</v>
      </c>
      <c r="I52" s="463">
        <v>1</v>
      </c>
      <c r="J52" s="1009"/>
      <c r="K52" s="1009"/>
      <c r="L52" s="458"/>
      <c r="M52" s="456"/>
      <c r="N52" s="456"/>
    </row>
    <row r="53" spans="1:14" hidden="1" outlineLevel="1" x14ac:dyDescent="0.25">
      <c r="A53" s="456"/>
      <c r="B53" s="456"/>
      <c r="C53" s="285" t="s">
        <v>240</v>
      </c>
      <c r="D53" s="285"/>
      <c r="E53" s="462">
        <v>2.73</v>
      </c>
      <c r="F53" s="285">
        <v>0</v>
      </c>
      <c r="G53" s="285">
        <v>0</v>
      </c>
      <c r="H53" s="463">
        <v>0</v>
      </c>
      <c r="I53" s="463">
        <v>0</v>
      </c>
      <c r="J53" s="1009"/>
      <c r="K53" s="1009"/>
      <c r="L53" s="461"/>
      <c r="M53" s="456"/>
      <c r="N53" s="456"/>
    </row>
    <row r="54" spans="1:14" hidden="1" outlineLevel="1" x14ac:dyDescent="0.25">
      <c r="A54" s="456"/>
      <c r="B54" s="456"/>
      <c r="C54" s="285" t="s">
        <v>241</v>
      </c>
      <c r="D54" s="285"/>
      <c r="E54" s="462">
        <v>1.18</v>
      </c>
      <c r="F54" s="285">
        <v>213</v>
      </c>
      <c r="G54" s="285">
        <v>106</v>
      </c>
      <c r="H54" s="463">
        <v>3.2</v>
      </c>
      <c r="I54" s="463">
        <v>2.1</v>
      </c>
      <c r="J54" s="1009"/>
      <c r="K54" s="1009"/>
      <c r="L54" s="458"/>
      <c r="M54" s="456"/>
      <c r="N54" s="456"/>
    </row>
    <row r="55" spans="1:14" hidden="1" outlineLevel="1" x14ac:dyDescent="0.25">
      <c r="A55" s="456"/>
      <c r="B55" s="456"/>
      <c r="C55" s="285" t="s">
        <v>145</v>
      </c>
      <c r="D55" s="285"/>
      <c r="E55" s="462">
        <v>0.62</v>
      </c>
      <c r="F55" s="285">
        <v>103</v>
      </c>
      <c r="G55" s="285">
        <v>91</v>
      </c>
      <c r="H55" s="463">
        <v>1.9</v>
      </c>
      <c r="I55" s="463">
        <v>6.5</v>
      </c>
      <c r="J55" s="1009"/>
      <c r="K55" s="1009"/>
      <c r="L55" s="458"/>
      <c r="M55" s="456"/>
      <c r="N55" s="456"/>
    </row>
    <row r="56" spans="1:14" hidden="1" outlineLevel="1" x14ac:dyDescent="0.25">
      <c r="A56" s="456"/>
      <c r="B56" s="456"/>
      <c r="C56" s="285" t="s">
        <v>68</v>
      </c>
      <c r="D56" s="285"/>
      <c r="E56" s="462">
        <v>1.06</v>
      </c>
      <c r="F56" s="285">
        <v>64</v>
      </c>
      <c r="G56" s="285">
        <v>84</v>
      </c>
      <c r="H56" s="463">
        <v>2.2000000000000002</v>
      </c>
      <c r="I56" s="463">
        <v>0.3</v>
      </c>
      <c r="J56" s="1009"/>
      <c r="K56" s="1009"/>
      <c r="L56" s="458"/>
      <c r="M56" s="456"/>
      <c r="N56" s="456"/>
    </row>
    <row r="57" spans="1:14" hidden="1" outlineLevel="1" x14ac:dyDescent="0.25">
      <c r="A57" s="430"/>
      <c r="B57" s="430"/>
      <c r="C57" s="467" t="s">
        <v>246</v>
      </c>
      <c r="D57" s="285"/>
      <c r="E57" s="468">
        <v>0.98666666568000005</v>
      </c>
      <c r="F57" s="469">
        <v>156.33333317699999</v>
      </c>
      <c r="G57" s="469">
        <v>134.33333319900001</v>
      </c>
      <c r="H57" s="470">
        <v>3.666666663</v>
      </c>
      <c r="I57" s="470">
        <v>1.0333333323</v>
      </c>
      <c r="J57" s="1010"/>
      <c r="K57" s="1010"/>
      <c r="L57" s="448"/>
      <c r="M57" s="430"/>
      <c r="N57" s="430"/>
    </row>
    <row r="58" spans="1:14" hidden="1" outlineLevel="1" x14ac:dyDescent="0.25">
      <c r="A58" s="430"/>
      <c r="B58" s="430"/>
      <c r="C58" s="467" t="s">
        <v>248</v>
      </c>
      <c r="D58" s="285"/>
      <c r="E58" s="468">
        <v>0.95666666571000003</v>
      </c>
      <c r="F58" s="469">
        <v>114.99999988500001</v>
      </c>
      <c r="G58" s="469">
        <v>101.999999898</v>
      </c>
      <c r="H58" s="470">
        <v>5.0666666616000002</v>
      </c>
      <c r="I58" s="470">
        <v>2.0666666646</v>
      </c>
      <c r="J58" s="1010"/>
      <c r="K58" s="1010"/>
      <c r="L58" s="448"/>
      <c r="M58" s="430"/>
      <c r="N58" s="430"/>
    </row>
    <row r="59" spans="1:14" hidden="1" outlineLevel="1" x14ac:dyDescent="0.25">
      <c r="A59" s="430"/>
      <c r="B59" s="430"/>
      <c r="C59" s="467" t="s">
        <v>245</v>
      </c>
      <c r="D59" s="285"/>
      <c r="E59" s="468">
        <v>0.97749999999999992</v>
      </c>
      <c r="F59" s="469">
        <v>134.5</v>
      </c>
      <c r="G59" s="469">
        <v>122.5</v>
      </c>
      <c r="H59" s="470">
        <v>3.5</v>
      </c>
      <c r="I59" s="470">
        <v>0.9</v>
      </c>
      <c r="J59" s="1010"/>
      <c r="K59" s="1010"/>
      <c r="L59" s="448"/>
      <c r="M59" s="430"/>
      <c r="N59" s="430"/>
    </row>
    <row r="60" spans="1:14" hidden="1" outlineLevel="1" x14ac:dyDescent="0.25">
      <c r="A60" s="430"/>
      <c r="B60" s="430"/>
      <c r="C60" s="467" t="s">
        <v>247</v>
      </c>
      <c r="D60" s="285"/>
      <c r="E60" s="468">
        <v>0.97199999999999998</v>
      </c>
      <c r="F60" s="469">
        <v>121.4</v>
      </c>
      <c r="G60" s="469">
        <v>115.4</v>
      </c>
      <c r="H60" s="470">
        <v>3.4000000000000004</v>
      </c>
      <c r="I60" s="470">
        <v>0.82000000000000006</v>
      </c>
      <c r="J60" s="1010"/>
      <c r="K60" s="1010"/>
      <c r="L60" s="448"/>
      <c r="M60" s="430"/>
      <c r="N60" s="430"/>
    </row>
    <row r="61" spans="1:14" hidden="1" outlineLevel="1" x14ac:dyDescent="0.25">
      <c r="A61" s="430"/>
      <c r="B61" s="430"/>
      <c r="C61" s="285" t="s">
        <v>146</v>
      </c>
      <c r="D61" s="285"/>
      <c r="E61" s="462">
        <v>0.75</v>
      </c>
      <c r="F61" s="285">
        <v>63</v>
      </c>
      <c r="G61" s="285">
        <v>54</v>
      </c>
      <c r="H61" s="463">
        <v>0.2</v>
      </c>
      <c r="I61" s="463">
        <v>0.5</v>
      </c>
      <c r="J61" s="1009"/>
      <c r="K61" s="1009"/>
      <c r="L61" s="448"/>
      <c r="M61" s="430"/>
      <c r="N61" s="430"/>
    </row>
    <row r="62" spans="1:14" hidden="1" outlineLevel="1" x14ac:dyDescent="0.25">
      <c r="A62" s="430"/>
      <c r="B62" s="430"/>
      <c r="C62" s="285" t="s">
        <v>426</v>
      </c>
      <c r="D62" s="459"/>
      <c r="E62" s="462">
        <f>COUT!F7</f>
        <v>0</v>
      </c>
      <c r="F62" s="471">
        <f>COUT!H7</f>
        <v>0</v>
      </c>
      <c r="G62" s="471">
        <f>COUT!I7</f>
        <v>0</v>
      </c>
      <c r="H62" s="285">
        <f>COUT!J7</f>
        <v>0</v>
      </c>
      <c r="I62" s="285">
        <f>COUT!K7</f>
        <v>0</v>
      </c>
      <c r="J62" s="448"/>
      <c r="K62" s="448"/>
      <c r="L62" s="448"/>
      <c r="M62" s="430"/>
      <c r="N62" s="430"/>
    </row>
    <row r="63" spans="1:14" hidden="1" outlineLevel="1" x14ac:dyDescent="0.25">
      <c r="A63" s="430"/>
      <c r="B63" s="430"/>
      <c r="C63" s="285" t="s">
        <v>54</v>
      </c>
      <c r="D63" s="285"/>
      <c r="E63" s="462">
        <v>0.95</v>
      </c>
      <c r="F63" s="285">
        <v>69</v>
      </c>
      <c r="G63" s="285">
        <v>87</v>
      </c>
      <c r="H63" s="463">
        <v>3</v>
      </c>
      <c r="I63" s="463">
        <v>0.5</v>
      </c>
      <c r="J63" s="1009"/>
      <c r="K63" s="1009"/>
      <c r="L63" s="430">
        <v>0</v>
      </c>
      <c r="M63" s="430"/>
      <c r="N63" s="430"/>
    </row>
    <row r="64" spans="1:14" hidden="1" outlineLevel="1" x14ac:dyDescent="0.25">
      <c r="A64" s="430"/>
      <c r="B64" s="430"/>
      <c r="C64" s="285" t="s">
        <v>53</v>
      </c>
      <c r="D64" s="285"/>
      <c r="E64" s="462">
        <v>1.04</v>
      </c>
      <c r="F64" s="285">
        <v>130</v>
      </c>
      <c r="G64" s="285">
        <v>83</v>
      </c>
      <c r="H64" s="463">
        <v>3.4</v>
      </c>
      <c r="I64" s="463">
        <v>0.7</v>
      </c>
      <c r="J64" s="1009"/>
      <c r="K64" s="1009"/>
      <c r="L64" s="430">
        <v>100</v>
      </c>
      <c r="M64" s="430"/>
      <c r="N64" s="430"/>
    </row>
    <row r="65" spans="1:14" hidden="1" outlineLevel="1" x14ac:dyDescent="0.25">
      <c r="A65" s="430"/>
      <c r="B65" s="430"/>
      <c r="C65" s="285" t="s">
        <v>242</v>
      </c>
      <c r="D65" s="285"/>
      <c r="E65" s="462">
        <v>1.1499999999999999</v>
      </c>
      <c r="F65" s="285">
        <v>196</v>
      </c>
      <c r="G65" s="285">
        <v>75</v>
      </c>
      <c r="H65" s="463">
        <v>9.6999999999999993</v>
      </c>
      <c r="I65" s="463">
        <v>11.7</v>
      </c>
      <c r="J65" s="1009"/>
      <c r="K65" s="1009"/>
      <c r="L65" s="430">
        <v>100</v>
      </c>
      <c r="M65" s="430"/>
      <c r="N65" s="430"/>
    </row>
    <row r="66" spans="1:14" hidden="1" outlineLevel="1" x14ac:dyDescent="0.25">
      <c r="A66" s="430"/>
      <c r="B66" s="430"/>
      <c r="C66" s="285" t="s">
        <v>120</v>
      </c>
      <c r="D66" s="285"/>
      <c r="E66" s="462">
        <v>0.89</v>
      </c>
      <c r="F66" s="285">
        <v>59</v>
      </c>
      <c r="G66" s="285">
        <v>97</v>
      </c>
      <c r="H66" s="463">
        <v>0.9</v>
      </c>
      <c r="I66" s="463">
        <v>3</v>
      </c>
      <c r="J66" s="1009"/>
      <c r="K66" s="1009"/>
      <c r="L66" s="430">
        <v>120</v>
      </c>
      <c r="M66" s="430"/>
      <c r="N66" s="430"/>
    </row>
    <row r="67" spans="1:14" hidden="1" outlineLevel="1" x14ac:dyDescent="0.25">
      <c r="A67" s="430"/>
      <c r="B67" s="430"/>
      <c r="C67" s="285" t="s">
        <v>69</v>
      </c>
      <c r="D67" s="285"/>
      <c r="E67" s="462">
        <v>0.81</v>
      </c>
      <c r="F67" s="285">
        <v>77</v>
      </c>
      <c r="G67" s="285">
        <v>82</v>
      </c>
      <c r="H67" s="463">
        <v>2.6</v>
      </c>
      <c r="I67" s="463">
        <v>0.5</v>
      </c>
      <c r="J67" s="1009"/>
      <c r="K67" s="1009"/>
      <c r="L67" s="430">
        <v>120</v>
      </c>
      <c r="M67" s="430"/>
      <c r="N67" s="430"/>
    </row>
    <row r="68" spans="1:14" hidden="1" outlineLevel="1" x14ac:dyDescent="0.25">
      <c r="A68" s="430"/>
      <c r="B68" s="430"/>
      <c r="C68" s="285" t="s">
        <v>66</v>
      </c>
      <c r="D68" s="285"/>
      <c r="E68" s="462">
        <v>1.03</v>
      </c>
      <c r="F68" s="285">
        <v>59</v>
      </c>
      <c r="G68" s="285">
        <v>85</v>
      </c>
      <c r="H68" s="463">
        <v>2.6</v>
      </c>
      <c r="I68" s="463">
        <v>0.7</v>
      </c>
      <c r="J68" s="1009"/>
      <c r="K68" s="1009"/>
      <c r="L68" s="430">
        <v>40</v>
      </c>
      <c r="M68" s="430"/>
      <c r="N68" s="430"/>
    </row>
    <row r="69" spans="1:14" hidden="1" outlineLevel="1" x14ac:dyDescent="0.25">
      <c r="A69" s="430"/>
      <c r="B69" s="430"/>
      <c r="C69" s="285" t="s">
        <v>243</v>
      </c>
      <c r="D69" s="285"/>
      <c r="E69" s="462">
        <v>1.05</v>
      </c>
      <c r="F69" s="285">
        <v>67</v>
      </c>
      <c r="G69" s="285">
        <v>87</v>
      </c>
      <c r="H69" s="463">
        <v>2.4</v>
      </c>
      <c r="I69" s="463">
        <v>0.2</v>
      </c>
      <c r="J69" s="1009"/>
      <c r="K69" s="1009"/>
      <c r="L69" s="430">
        <v>50</v>
      </c>
      <c r="M69" s="430"/>
      <c r="N69" s="430"/>
    </row>
    <row r="70" spans="1:14" hidden="1" outlineLevel="1" x14ac:dyDescent="0.25">
      <c r="A70" s="430"/>
      <c r="B70" s="430"/>
      <c r="C70" s="285" t="s">
        <v>436</v>
      </c>
      <c r="D70" s="285"/>
      <c r="E70" s="462">
        <v>1</v>
      </c>
      <c r="F70" s="285">
        <v>347</v>
      </c>
      <c r="G70" s="285">
        <v>215</v>
      </c>
      <c r="H70" s="463">
        <v>4.0999999999999996</v>
      </c>
      <c r="I70" s="463">
        <v>1.2</v>
      </c>
      <c r="J70" s="1009"/>
      <c r="K70" s="1009"/>
      <c r="L70" s="430">
        <v>50</v>
      </c>
      <c r="M70" s="430"/>
      <c r="N70" s="430"/>
    </row>
    <row r="71" spans="1:14" hidden="1" outlineLevel="1" x14ac:dyDescent="0.25">
      <c r="A71" s="430"/>
      <c r="B71" s="430"/>
      <c r="C71" s="285" t="s">
        <v>455</v>
      </c>
      <c r="D71" s="285"/>
      <c r="E71" s="462">
        <v>0.85</v>
      </c>
      <c r="F71" s="285">
        <v>219</v>
      </c>
      <c r="G71" s="285">
        <v>138</v>
      </c>
      <c r="H71" s="463">
        <v>9.1999999999999993</v>
      </c>
      <c r="I71" s="463">
        <v>5.2</v>
      </c>
      <c r="J71" s="1009"/>
      <c r="K71" s="1009"/>
      <c r="L71" s="430">
        <v>60</v>
      </c>
      <c r="M71" s="430"/>
      <c r="N71" s="430"/>
    </row>
    <row r="72" spans="1:14" hidden="1" outlineLevel="1" x14ac:dyDescent="0.25">
      <c r="A72" s="430"/>
      <c r="B72" s="430"/>
      <c r="C72" s="285" t="s">
        <v>456</v>
      </c>
      <c r="D72" s="285"/>
      <c r="E72" s="462">
        <v>0.88</v>
      </c>
      <c r="F72" s="285">
        <v>227</v>
      </c>
      <c r="G72" s="285">
        <v>179</v>
      </c>
      <c r="H72" s="463">
        <v>6</v>
      </c>
      <c r="I72" s="463">
        <v>2.8</v>
      </c>
      <c r="J72" s="1009"/>
      <c r="K72" s="1009"/>
      <c r="L72" s="430">
        <v>70</v>
      </c>
      <c r="M72" s="430"/>
      <c r="N72" s="430"/>
    </row>
    <row r="73" spans="1:14" hidden="1" outlineLevel="1" x14ac:dyDescent="0.25">
      <c r="A73" s="430"/>
      <c r="B73" s="430"/>
      <c r="C73" s="285" t="s">
        <v>439</v>
      </c>
      <c r="D73" s="285"/>
      <c r="E73" s="462">
        <v>1.06</v>
      </c>
      <c r="F73" s="285">
        <v>331</v>
      </c>
      <c r="G73" s="285">
        <v>229</v>
      </c>
      <c r="H73" s="463">
        <v>5</v>
      </c>
      <c r="I73" s="463">
        <v>2.1</v>
      </c>
      <c r="J73" s="1009"/>
      <c r="K73" s="1009"/>
      <c r="L73" s="430">
        <v>80</v>
      </c>
      <c r="M73" s="430"/>
      <c r="N73" s="430"/>
    </row>
    <row r="74" spans="1:14" hidden="1" outlineLevel="1" x14ac:dyDescent="0.25">
      <c r="A74" s="430"/>
      <c r="B74" s="430"/>
      <c r="C74" s="285" t="s">
        <v>440</v>
      </c>
      <c r="D74" s="285"/>
      <c r="E74" s="462">
        <v>0.56000000000000005</v>
      </c>
      <c r="F74" s="285">
        <v>178</v>
      </c>
      <c r="G74" s="285">
        <v>93</v>
      </c>
      <c r="H74" s="463">
        <v>7.4</v>
      </c>
      <c r="I74" s="463">
        <v>2.4</v>
      </c>
      <c r="J74" s="1009"/>
      <c r="K74" s="1009"/>
      <c r="L74" s="430">
        <v>80</v>
      </c>
      <c r="M74" s="430"/>
      <c r="N74" s="430"/>
    </row>
    <row r="75" spans="1:14" hidden="1" outlineLevel="1" x14ac:dyDescent="0.25">
      <c r="A75" s="430"/>
      <c r="B75" s="430"/>
      <c r="C75" s="285" t="s">
        <v>62</v>
      </c>
      <c r="D75" s="285"/>
      <c r="E75" s="462">
        <v>1.01</v>
      </c>
      <c r="F75" s="285">
        <v>63</v>
      </c>
      <c r="G75" s="285">
        <v>84</v>
      </c>
      <c r="H75" s="463">
        <v>3</v>
      </c>
      <c r="I75" s="463">
        <v>0.5</v>
      </c>
      <c r="J75" s="1009"/>
      <c r="K75" s="1009"/>
      <c r="L75" s="430">
        <v>80</v>
      </c>
      <c r="M75" s="430"/>
      <c r="N75" s="430"/>
    </row>
    <row r="76" spans="1:14" hidden="1" outlineLevel="1" x14ac:dyDescent="0.25">
      <c r="A76" s="430"/>
      <c r="B76" s="430"/>
      <c r="C76" s="285" t="s">
        <v>244</v>
      </c>
      <c r="D76" s="285"/>
      <c r="E76" s="462">
        <v>0</v>
      </c>
      <c r="F76" s="285">
        <v>1443</v>
      </c>
      <c r="G76" s="285">
        <v>0</v>
      </c>
      <c r="H76" s="463">
        <v>0</v>
      </c>
      <c r="I76" s="463">
        <v>0</v>
      </c>
      <c r="J76" s="1009"/>
      <c r="K76" s="1009"/>
      <c r="L76" s="430">
        <v>90</v>
      </c>
      <c r="M76" s="430"/>
      <c r="N76" s="430"/>
    </row>
    <row r="77" spans="1:14" hidden="1" outlineLevel="1" x14ac:dyDescent="0.25">
      <c r="A77" s="430"/>
      <c r="B77" s="430"/>
      <c r="C77" s="285" t="s">
        <v>64</v>
      </c>
      <c r="D77" s="285"/>
      <c r="E77" s="462">
        <v>1.02</v>
      </c>
      <c r="F77" s="285">
        <v>161</v>
      </c>
      <c r="G77" s="285">
        <v>90</v>
      </c>
      <c r="H77" s="463">
        <v>3.8</v>
      </c>
      <c r="I77" s="463">
        <v>1</v>
      </c>
      <c r="J77" s="1009"/>
      <c r="K77" s="1009"/>
      <c r="L77" s="430">
        <v>0</v>
      </c>
      <c r="M77" s="430"/>
      <c r="N77" s="430"/>
    </row>
    <row r="78" spans="1:14" hidden="1" outlineLevel="1" x14ac:dyDescent="0.25">
      <c r="A78" s="430"/>
      <c r="B78" s="430"/>
      <c r="C78" s="285"/>
      <c r="D78" s="285"/>
      <c r="E78" s="285"/>
      <c r="F78" s="285"/>
      <c r="G78" s="285"/>
      <c r="H78" s="285"/>
      <c r="I78" s="285"/>
      <c r="J78" s="448"/>
      <c r="K78" s="448"/>
      <c r="L78" s="448"/>
      <c r="M78" s="430"/>
      <c r="N78" s="430"/>
    </row>
    <row r="79" spans="1:14" hidden="1" outlineLevel="1" x14ac:dyDescent="0.25">
      <c r="A79" s="430"/>
      <c r="B79" s="430"/>
      <c r="C79" s="430"/>
      <c r="D79" s="430"/>
      <c r="E79" s="430"/>
      <c r="F79" s="430"/>
      <c r="G79" s="430"/>
      <c r="H79" s="430"/>
      <c r="I79" s="430"/>
      <c r="J79" s="430"/>
      <c r="K79" s="430"/>
      <c r="L79" s="448"/>
      <c r="M79" s="430"/>
      <c r="N79" s="430"/>
    </row>
    <row r="80" spans="1:14" hidden="1" outlineLevel="1" x14ac:dyDescent="0.25">
      <c r="A80" s="430"/>
      <c r="B80" s="430"/>
      <c r="C80" s="430"/>
      <c r="D80" s="430"/>
      <c r="E80" s="430"/>
      <c r="F80" s="430"/>
      <c r="G80" s="430"/>
      <c r="H80" s="430"/>
      <c r="I80" s="430"/>
      <c r="J80" s="430"/>
      <c r="K80" s="430"/>
      <c r="L80" s="448"/>
      <c r="M80" s="430"/>
      <c r="N80" s="430"/>
    </row>
    <row r="81" spans="1:14" collapsed="1" x14ac:dyDescent="0.25">
      <c r="A81" s="430"/>
      <c r="B81" s="430"/>
      <c r="C81" s="430"/>
      <c r="D81" s="430"/>
      <c r="E81" s="430"/>
      <c r="F81" s="430"/>
      <c r="G81" s="430"/>
      <c r="H81" s="430"/>
      <c r="I81" s="430"/>
      <c r="J81" s="430"/>
      <c r="K81" s="430"/>
      <c r="L81" s="448"/>
      <c r="M81" s="430"/>
      <c r="N81" s="430"/>
    </row>
  </sheetData>
  <mergeCells count="24">
    <mergeCell ref="M5:M8"/>
    <mergeCell ref="G3:M3"/>
    <mergeCell ref="C12:C13"/>
    <mergeCell ref="D12:D13"/>
    <mergeCell ref="C6:C7"/>
    <mergeCell ref="B2:E3"/>
    <mergeCell ref="B6:B7"/>
    <mergeCell ref="B8:B9"/>
    <mergeCell ref="C8:C9"/>
    <mergeCell ref="D8:D9"/>
    <mergeCell ref="D6:K6"/>
    <mergeCell ref="B18:B19"/>
    <mergeCell ref="C18:C19"/>
    <mergeCell ref="D18:D19"/>
    <mergeCell ref="B10:B11"/>
    <mergeCell ref="C10:C11"/>
    <mergeCell ref="D10:D11"/>
    <mergeCell ref="B12:B13"/>
    <mergeCell ref="B14:B15"/>
    <mergeCell ref="C14:C15"/>
    <mergeCell ref="D14:D15"/>
    <mergeCell ref="B16:B17"/>
    <mergeCell ref="C16:C17"/>
    <mergeCell ref="D16:D17"/>
  </mergeCells>
  <printOptions horizontalCentered="1"/>
  <pageMargins left="0" right="0" top="0.74803149606299213" bottom="0.74803149606299213" header="0.31496062992125984" footer="0.31496062992125984"/>
  <pageSetup paperSize="9" scale="93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/>
  <dimension ref="A1:AE225"/>
  <sheetViews>
    <sheetView showGridLines="0" zoomScale="80" zoomScaleNormal="80" workbookViewId="0"/>
  </sheetViews>
  <sheetFormatPr defaultColWidth="11.42578125" defaultRowHeight="15" outlineLevelRow="1" x14ac:dyDescent="0.25"/>
  <cols>
    <col min="1" max="1" width="2.28515625" customWidth="1"/>
    <col min="2" max="2" width="6.140625" customWidth="1"/>
    <col min="3" max="3" width="11.85546875" customWidth="1"/>
    <col min="4" max="4" width="3.28515625" customWidth="1"/>
    <col min="5" max="7" width="9.5703125" customWidth="1"/>
    <col min="8" max="8" width="10.140625" customWidth="1"/>
    <col min="9" max="9" width="9.5703125" hidden="1" customWidth="1"/>
    <col min="10" max="12" width="3" customWidth="1"/>
    <col min="13" max="13" width="8.28515625" customWidth="1"/>
    <col min="14" max="14" width="6.140625" customWidth="1"/>
    <col min="15" max="15" width="3.42578125" customWidth="1"/>
    <col min="16" max="16" width="7.42578125" customWidth="1"/>
    <col min="17" max="17" width="13.28515625" customWidth="1"/>
    <col min="18" max="18" width="3" customWidth="1"/>
    <col min="19" max="19" width="3" style="605" customWidth="1"/>
    <col min="20" max="20" width="2.85546875" customWidth="1"/>
    <col min="21" max="21" width="8.7109375" customWidth="1"/>
    <col min="22" max="22" width="19.42578125" style="660" customWidth="1"/>
    <col min="23" max="23" width="27.7109375" customWidth="1"/>
    <col min="24" max="28" width="8.7109375" customWidth="1"/>
    <col min="29" max="29" width="3.140625" customWidth="1"/>
  </cols>
  <sheetData>
    <row r="1" spans="1:29" ht="60.75" customHeight="1" x14ac:dyDescent="0.25">
      <c r="A1" s="497"/>
      <c r="B1" s="1414" t="s">
        <v>1275</v>
      </c>
      <c r="C1" s="1414"/>
      <c r="D1" s="1414"/>
      <c r="E1" s="1414"/>
      <c r="F1" s="1414"/>
      <c r="G1" s="1414"/>
      <c r="H1" s="1414"/>
      <c r="I1" s="1414"/>
      <c r="J1" s="1414"/>
      <c r="K1" s="1414"/>
      <c r="L1" s="1414"/>
      <c r="M1" s="1414"/>
      <c r="N1" s="1414"/>
      <c r="O1" s="1414"/>
      <c r="P1" s="1414"/>
      <c r="Q1" s="1414"/>
      <c r="R1" s="1414"/>
      <c r="S1" s="1414"/>
      <c r="T1" s="1414"/>
      <c r="U1" s="1414"/>
      <c r="V1" s="1414"/>
      <c r="W1" s="1414"/>
      <c r="X1" s="1414"/>
      <c r="Y1" s="1414"/>
      <c r="Z1" s="1414"/>
      <c r="AA1" s="1414"/>
      <c r="AB1" s="1414"/>
      <c r="AC1" s="497"/>
    </row>
    <row r="2" spans="1:29" ht="31.5" x14ac:dyDescent="0.25">
      <c r="A2" s="497"/>
      <c r="B2" s="1104" t="s">
        <v>869</v>
      </c>
      <c r="C2" s="1105"/>
      <c r="D2" s="1105"/>
      <c r="E2" s="1105"/>
      <c r="F2" s="1105"/>
      <c r="G2" s="1105"/>
      <c r="H2" s="1105"/>
      <c r="I2" s="1105"/>
      <c r="J2" s="1105"/>
      <c r="K2" s="1105"/>
      <c r="L2" s="1105"/>
      <c r="M2" s="1105"/>
      <c r="N2" s="1105"/>
      <c r="O2" s="1105"/>
      <c r="P2" s="1105"/>
      <c r="Q2" s="1105"/>
      <c r="R2" s="1105"/>
      <c r="S2" s="1105"/>
      <c r="T2" s="1105"/>
      <c r="U2" s="1105"/>
      <c r="V2" s="1105"/>
      <c r="W2" s="1105"/>
      <c r="X2" s="1105"/>
      <c r="Y2" s="1105"/>
      <c r="Z2" s="1105"/>
      <c r="AA2" s="1105"/>
      <c r="AB2" s="1106"/>
      <c r="AC2" s="497"/>
    </row>
    <row r="3" spans="1:29" ht="18.600000000000001" customHeight="1" x14ac:dyDescent="0.25">
      <c r="A3" s="497"/>
      <c r="B3" s="518"/>
      <c r="C3" s="518"/>
      <c r="D3" s="518"/>
      <c r="E3" s="518"/>
      <c r="F3" s="518"/>
      <c r="G3" s="518"/>
      <c r="H3" s="518"/>
      <c r="I3" s="518"/>
      <c r="J3" s="518"/>
      <c r="K3" s="507"/>
      <c r="L3" s="497"/>
      <c r="M3" s="497"/>
      <c r="N3" s="497"/>
      <c r="O3" s="497"/>
      <c r="P3" s="497"/>
      <c r="Q3" s="497"/>
      <c r="R3" s="497"/>
      <c r="S3" s="497"/>
      <c r="T3" s="497"/>
      <c r="U3" s="609"/>
      <c r="V3" s="609"/>
      <c r="W3" s="609"/>
      <c r="X3" s="610"/>
      <c r="Y3" s="610"/>
      <c r="Z3" s="610"/>
      <c r="AA3" s="610"/>
      <c r="AB3" s="610"/>
      <c r="AC3" s="497"/>
    </row>
    <row r="4" spans="1:29" ht="28.9" customHeight="1" x14ac:dyDescent="0.25">
      <c r="A4" s="497"/>
      <c r="B4" s="1419" t="s">
        <v>760</v>
      </c>
      <c r="C4" s="1086"/>
      <c r="D4" s="1086"/>
      <c r="E4" s="1086"/>
      <c r="F4" s="1086"/>
      <c r="G4" s="1086"/>
      <c r="H4" s="1086"/>
      <c r="I4" s="1086"/>
      <c r="J4" s="1086"/>
      <c r="K4" s="1086"/>
      <c r="L4" s="1086"/>
      <c r="M4" s="1086"/>
      <c r="N4" s="1086"/>
      <c r="O4" s="1086"/>
      <c r="P4" s="1086"/>
      <c r="Q4" s="1086"/>
      <c r="R4" s="1086"/>
      <c r="S4" s="1086"/>
      <c r="T4" s="1086"/>
      <c r="U4" s="1420"/>
      <c r="V4" s="1420"/>
      <c r="W4" s="1086"/>
      <c r="X4" s="1086"/>
      <c r="Y4" s="1086"/>
      <c r="Z4" s="1086"/>
      <c r="AA4" s="1086"/>
      <c r="AB4" s="1087"/>
      <c r="AC4" s="497"/>
    </row>
    <row r="5" spans="1:29" ht="14.45" customHeight="1" x14ac:dyDescent="0.25">
      <c r="A5" s="497"/>
      <c r="B5" s="497"/>
      <c r="C5" s="497"/>
      <c r="D5" s="497"/>
      <c r="E5" s="503"/>
      <c r="F5" s="503"/>
      <c r="G5" s="503"/>
      <c r="H5" s="503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7"/>
      <c r="U5" s="1421" t="s">
        <v>913</v>
      </c>
      <c r="V5" s="1421"/>
      <c r="W5" s="1421"/>
      <c r="X5" s="991"/>
      <c r="Y5" s="991"/>
      <c r="Z5" s="992"/>
      <c r="AA5" s="992"/>
      <c r="AB5" s="989"/>
      <c r="AC5" s="497"/>
    </row>
    <row r="6" spans="1:29" ht="29.25" customHeight="1" thickBot="1" x14ac:dyDescent="0.45">
      <c r="A6" s="497"/>
      <c r="B6" s="1410" t="s">
        <v>1153</v>
      </c>
      <c r="C6" s="1411"/>
      <c r="D6" s="1411"/>
      <c r="E6" s="1411"/>
      <c r="F6" s="1408" t="s">
        <v>19</v>
      </c>
      <c r="G6" s="1408"/>
      <c r="H6" s="1408"/>
      <c r="I6" s="621"/>
      <c r="J6" s="498"/>
      <c r="K6" s="497"/>
      <c r="L6" s="1397" t="s">
        <v>535</v>
      </c>
      <c r="M6" s="1398"/>
      <c r="N6" s="1398"/>
      <c r="O6" s="1398"/>
      <c r="P6" s="1398"/>
      <c r="Q6" s="1398"/>
      <c r="R6" s="1399"/>
      <c r="S6" s="607"/>
      <c r="T6" s="497"/>
      <c r="U6" s="1422"/>
      <c r="V6" s="1422"/>
      <c r="W6" s="1422"/>
      <c r="X6" s="995"/>
      <c r="Y6" s="995"/>
      <c r="Z6" s="996"/>
      <c r="AA6" s="996"/>
      <c r="AB6" s="990"/>
      <c r="AC6" s="257"/>
    </row>
    <row r="7" spans="1:29" ht="16.149999999999999" customHeight="1" x14ac:dyDescent="0.4">
      <c r="A7" s="497"/>
      <c r="B7" s="1412"/>
      <c r="C7" s="1413"/>
      <c r="D7" s="1413"/>
      <c r="E7" s="1413"/>
      <c r="F7" s="1409"/>
      <c r="G7" s="1409"/>
      <c r="H7" s="1409"/>
      <c r="I7" s="622"/>
      <c r="J7" s="500"/>
      <c r="K7" s="497"/>
      <c r="L7" s="1400"/>
      <c r="M7" s="1401"/>
      <c r="N7" s="1401"/>
      <c r="O7" s="1401"/>
      <c r="P7" s="1401"/>
      <c r="Q7" s="1401"/>
      <c r="R7" s="1402"/>
      <c r="S7" s="607"/>
      <c r="T7" s="497"/>
      <c r="U7" s="1320" t="s">
        <v>115</v>
      </c>
      <c r="V7" s="1311" t="s">
        <v>459</v>
      </c>
      <c r="W7" s="1312"/>
      <c r="X7" s="1316" t="s">
        <v>86</v>
      </c>
      <c r="Y7" s="1316"/>
      <c r="Z7" s="1316"/>
      <c r="AA7" s="1316"/>
      <c r="AB7" s="1317"/>
      <c r="AC7" s="497"/>
    </row>
    <row r="8" spans="1:29" ht="18" customHeight="1" x14ac:dyDescent="0.25">
      <c r="A8" s="497"/>
      <c r="B8" s="784"/>
      <c r="C8" s="785"/>
      <c r="D8" s="785"/>
      <c r="E8" s="1118" t="str">
        <f>IF(C12="","",CONCATENATE(IF(I33=1,"mâle","femelle")," de race ",IF(I36=TRUE,"à viande","rustique ou croisée"),"                                                                                               poids ",C12,"  -  GMQ   ",C14))</f>
        <v/>
      </c>
      <c r="F8" s="1118"/>
      <c r="G8" s="1118"/>
      <c r="H8" s="1118"/>
      <c r="I8" s="619"/>
      <c r="J8" s="500"/>
      <c r="K8" s="497"/>
      <c r="L8" s="1400"/>
      <c r="M8" s="1401"/>
      <c r="N8" s="1401"/>
      <c r="O8" s="1401"/>
      <c r="P8" s="1401"/>
      <c r="Q8" s="1401"/>
      <c r="R8" s="1402"/>
      <c r="S8" s="607"/>
      <c r="T8" s="497"/>
      <c r="U8" s="1321"/>
      <c r="V8" s="1313"/>
      <c r="W8" s="1314"/>
      <c r="X8" s="173" t="s">
        <v>254</v>
      </c>
      <c r="Y8" s="173" t="s">
        <v>82</v>
      </c>
      <c r="Z8" s="173" t="s">
        <v>83</v>
      </c>
      <c r="AA8" s="173" t="s">
        <v>49</v>
      </c>
      <c r="AB8" s="174" t="s">
        <v>50</v>
      </c>
      <c r="AC8" s="497"/>
    </row>
    <row r="9" spans="1:29" ht="20.25" customHeight="1" x14ac:dyDescent="0.3">
      <c r="A9" s="497"/>
      <c r="B9" s="784"/>
      <c r="C9" s="785"/>
      <c r="D9" s="785"/>
      <c r="E9" s="1118"/>
      <c r="F9" s="1118"/>
      <c r="G9" s="1118"/>
      <c r="H9" s="1118"/>
      <c r="I9" s="619"/>
      <c r="J9" s="500"/>
      <c r="K9" s="497"/>
      <c r="L9" s="1404" t="s">
        <v>735</v>
      </c>
      <c r="M9" s="1405"/>
      <c r="N9" s="1405"/>
      <c r="O9" s="531"/>
      <c r="P9" s="1403" t="str">
        <f>IF(E8="","",M38)</f>
        <v/>
      </c>
      <c r="Q9" s="1428" t="str">
        <f>IF(P9="","","UFV / kg")</f>
        <v/>
      </c>
      <c r="R9" s="530"/>
      <c r="S9" s="611"/>
      <c r="T9" s="497"/>
      <c r="U9" s="1415"/>
      <c r="V9" s="1438"/>
      <c r="W9" s="1417"/>
      <c r="X9" s="615" t="str">
        <f>IF(U9="","",IF(V9="Mes_concentrés",VLOOKUP(W9,NOUVEAU!$R$22:$AA$38,4),VLOOKUP($W9,$W44:$AC93,3)))</f>
        <v/>
      </c>
      <c r="Y9" s="617" t="str">
        <f>IF(U9="","",IF(V9="Mes_concentrés",VLOOKUP(W9,NOUVEAU!$R$22:$AA$38,5),VLOOKUP($W9,$W44:$AC93,4)))</f>
        <v/>
      </c>
      <c r="Z9" s="617" t="str">
        <f>IF(U9="","",IF(V9="Mes_concentrés",VLOOKUP(W9,NOUVEAU!$R$22:$AA$38,6),VLOOKUP($W9,$W44:$AC93,5)))</f>
        <v/>
      </c>
      <c r="AA9" s="616" t="str">
        <f>IF(U9="","",IF(V9="Mes_concentrés",VLOOKUP(W9,NOUVEAU!$R$22:$AA$38,7),VLOOKUP($W9,$W44:$AC93,6)))</f>
        <v/>
      </c>
      <c r="AB9" s="625" t="str">
        <f>IF(U9="","",IF(V9="Mes_concentrés",VLOOKUP(W9,NOUVEAU!$R$22:$AA$38,8),VLOOKUP($W9,$W44:$AC93,7)))</f>
        <v/>
      </c>
      <c r="AC9" s="497"/>
    </row>
    <row r="10" spans="1:29" ht="25.5" customHeight="1" x14ac:dyDescent="0.25">
      <c r="A10" s="497"/>
      <c r="B10" s="499"/>
      <c r="C10" s="495"/>
      <c r="D10" s="495"/>
      <c r="E10" s="1118"/>
      <c r="F10" s="1118"/>
      <c r="G10" s="1118"/>
      <c r="H10" s="1118"/>
      <c r="I10" s="619"/>
      <c r="J10" s="500"/>
      <c r="K10" s="497"/>
      <c r="L10" s="1404"/>
      <c r="M10" s="1405"/>
      <c r="N10" s="1405"/>
      <c r="O10" s="531"/>
      <c r="P10" s="1403"/>
      <c r="Q10" s="1428"/>
      <c r="R10" s="500"/>
      <c r="S10" s="526"/>
      <c r="T10" s="497"/>
      <c r="U10" s="1416"/>
      <c r="V10" s="1439"/>
      <c r="W10" s="1418"/>
      <c r="X10" s="176" t="str">
        <f>IF(U9="","",($U$9/100)*X9)</f>
        <v/>
      </c>
      <c r="Y10" s="177" t="str">
        <f>IF(U9="","",($U$9/100)*Y9)</f>
        <v/>
      </c>
      <c r="Z10" s="177" t="str">
        <f>IF(U9="","",($U$9/100)*Z9)</f>
        <v/>
      </c>
      <c r="AA10" s="175" t="str">
        <f>IF(U9="","",($U$9/100)*AA9)</f>
        <v/>
      </c>
      <c r="AB10" s="178" t="str">
        <f>IF(U9="","",($U$9/100)*AB9)</f>
        <v/>
      </c>
      <c r="AC10" s="497"/>
    </row>
    <row r="11" spans="1:29" ht="21" customHeight="1" x14ac:dyDescent="0.25">
      <c r="A11" s="497"/>
      <c r="B11" s="499"/>
      <c r="C11" s="495"/>
      <c r="D11" s="495"/>
      <c r="E11" s="496"/>
      <c r="F11" s="496"/>
      <c r="G11" s="496"/>
      <c r="H11" s="496"/>
      <c r="I11" s="496"/>
      <c r="J11" s="500"/>
      <c r="K11" s="497"/>
      <c r="L11" s="527"/>
      <c r="M11" s="1454">
        <v>2</v>
      </c>
      <c r="N11" s="1095" t="s">
        <v>734</v>
      </c>
      <c r="O11" s="1095"/>
      <c r="P11" s="1095"/>
      <c r="Q11" s="1095"/>
      <c r="R11" s="1096"/>
      <c r="S11" s="526"/>
      <c r="T11" s="497"/>
      <c r="U11" s="1415"/>
      <c r="V11" s="1438"/>
      <c r="W11" s="1417"/>
      <c r="X11" s="615" t="str">
        <f>IF(U11="","",IF(V11="Mes_concentrés",VLOOKUP(W11,NOUVEAU!$R$22:$AA$38,4),VLOOKUP($W11,$W44:$AC93,3)))</f>
        <v/>
      </c>
      <c r="Y11" s="617" t="str">
        <f>IF(U11="","",IF(V11="Mes_concentrés",VLOOKUP(W11,NOUVEAU!$R$22:$AA$38,5),VLOOKUP($W11,$W44:$AC93,4)))</f>
        <v/>
      </c>
      <c r="Z11" s="617" t="str">
        <f>IF(U11="","",IF(V11="Mes_concentrés",VLOOKUP(W11,NOUVEAU!$R$22:$AA$38,6),VLOOKUP($W11,$W44:$AC93,5)))</f>
        <v/>
      </c>
      <c r="AA11" s="616" t="str">
        <f>IF(U11="","",IF(V11="Mes_concentrés",VLOOKUP(W11,NOUVEAU!$R$22:$AA$38,7),VLOOKUP($W11,$W44:$AC93,6)))</f>
        <v/>
      </c>
      <c r="AB11" s="625" t="str">
        <f>IF(U11="","",IF(V11="Mes_concentrés",VLOOKUP(W11,NOUVEAU!$R$22:$AA$38,8),VLOOKUP($W11,$W44:$AC93,7)))</f>
        <v/>
      </c>
      <c r="AC11" s="497"/>
    </row>
    <row r="12" spans="1:29" ht="27.6" customHeight="1" x14ac:dyDescent="0.25">
      <c r="A12" s="497"/>
      <c r="B12" s="499" t="s">
        <v>536</v>
      </c>
      <c r="C12" s="533"/>
      <c r="D12" s="495"/>
      <c r="E12" s="1117" t="s">
        <v>537</v>
      </c>
      <c r="F12" s="1117"/>
      <c r="G12" s="1117"/>
      <c r="H12" s="1117"/>
      <c r="I12" s="620"/>
      <c r="J12" s="500"/>
      <c r="K12" s="497"/>
      <c r="L12" s="529"/>
      <c r="M12" s="1454"/>
      <c r="N12" s="1095"/>
      <c r="O12" s="1095"/>
      <c r="P12" s="1095"/>
      <c r="Q12" s="1095"/>
      <c r="R12" s="1096"/>
      <c r="S12" s="526"/>
      <c r="T12" s="497"/>
      <c r="U12" s="1416"/>
      <c r="V12" s="1439"/>
      <c r="W12" s="1418"/>
      <c r="X12" s="176" t="str">
        <f>IF(U11="","",($U$11/100)*X11)</f>
        <v/>
      </c>
      <c r="Y12" s="177" t="str">
        <f>IF(U11="","",($U$11/100)*Y11)</f>
        <v/>
      </c>
      <c r="Z12" s="177" t="str">
        <f>IF(U11="","",($U$11/100)*Z11)</f>
        <v/>
      </c>
      <c r="AA12" s="175" t="str">
        <f>IF(U11="","",($U$11/100)*AA11)</f>
        <v/>
      </c>
      <c r="AB12" s="178" t="str">
        <f>IF(U11="","",($U$11/100)*AB11)</f>
        <v/>
      </c>
      <c r="AC12" s="497"/>
    </row>
    <row r="13" spans="1:29" ht="18.600000000000001" customHeight="1" x14ac:dyDescent="0.35">
      <c r="A13" s="497"/>
      <c r="B13" s="499"/>
      <c r="C13" s="495"/>
      <c r="D13" s="495"/>
      <c r="E13" s="516" t="s">
        <v>538</v>
      </c>
      <c r="F13" s="516" t="s">
        <v>22</v>
      </c>
      <c r="G13" s="516" t="s">
        <v>514</v>
      </c>
      <c r="H13" s="516" t="s">
        <v>515</v>
      </c>
      <c r="J13" s="500"/>
      <c r="K13" s="497"/>
      <c r="L13" s="529"/>
      <c r="M13" s="1407" t="s">
        <v>736</v>
      </c>
      <c r="N13" s="1407"/>
      <c r="O13" s="1407"/>
      <c r="P13" s="1458" t="str">
        <f>IF(E8="","",IF(E14="ND","",E14/P9))</f>
        <v/>
      </c>
      <c r="Q13" s="1437" t="str">
        <f>IF(E8="","","kg /jour")</f>
        <v/>
      </c>
      <c r="R13" s="500"/>
      <c r="S13" s="526"/>
      <c r="T13" s="497"/>
      <c r="U13" s="1415"/>
      <c r="V13" s="1438"/>
      <c r="W13" s="1417"/>
      <c r="X13" s="615" t="str">
        <f>IF(U13="","",IF(V13="Mes_concentrés",VLOOKUP(W13,NOUVEAU!$R$22:$AA$38,4),VLOOKUP($W13,$W44:$AC93,3)))</f>
        <v/>
      </c>
      <c r="Y13" s="617" t="str">
        <f>IF(U13="","",IF(V13="Mes_concentrés",VLOOKUP(W13,NOUVEAU!$R$22:$AA$38,5),VLOOKUP($W13,$W44:$AC93,4)))</f>
        <v/>
      </c>
      <c r="Z13" s="617" t="str">
        <f>IF(U13="","",IF(V13="Mes_concentrés",VLOOKUP(W13,NOUVEAU!$R$22:$AA$38,6),VLOOKUP($W13,$W44:$AC93,5)))</f>
        <v/>
      </c>
      <c r="AA13" s="616" t="str">
        <f>IF(U13="","",IF(V13="Mes_concentrés",VLOOKUP(W13,NOUVEAU!$R$22:$AA$38,7),VLOOKUP($W13,$W44:$AC93,6)))</f>
        <v/>
      </c>
      <c r="AB13" s="625" t="str">
        <f>IF(U13="","",IF(V13="Mes_concentrés",VLOOKUP(W13,NOUVEAU!$R$22:$AA$38,8),VLOOKUP($W13,$W44:$AC93,7)))</f>
        <v/>
      </c>
      <c r="AC13" s="497"/>
    </row>
    <row r="14" spans="1:29" ht="27.75" customHeight="1" x14ac:dyDescent="0.25">
      <c r="A14" s="497"/>
      <c r="B14" s="499" t="s">
        <v>539</v>
      </c>
      <c r="C14" s="534"/>
      <c r="D14" s="495"/>
      <c r="E14" s="524" t="str">
        <f>IF(E8="","",VLOOKUP(E8,G43:K211,2))</f>
        <v/>
      </c>
      <c r="F14" s="525" t="str">
        <f>IF(E8="","",VLOOKUP(E8,G43:K211,3))</f>
        <v/>
      </c>
      <c r="G14" s="523" t="str">
        <f>IF(E8="","",VLOOKUP(E8,G43:K211,4))</f>
        <v/>
      </c>
      <c r="H14" s="523" t="str">
        <f>IF(E8="","",VLOOKUP(E8,G43:K211,5))</f>
        <v/>
      </c>
      <c r="J14" s="500"/>
      <c r="K14" s="497"/>
      <c r="L14" s="529"/>
      <c r="M14" s="1407"/>
      <c r="N14" s="1407"/>
      <c r="O14" s="1407"/>
      <c r="P14" s="1458"/>
      <c r="Q14" s="1437"/>
      <c r="R14" s="500"/>
      <c r="S14" s="526"/>
      <c r="T14" s="497"/>
      <c r="U14" s="1416"/>
      <c r="V14" s="1439"/>
      <c r="W14" s="1418"/>
      <c r="X14" s="176" t="str">
        <f>IF(U13="","",($U$13/100)*X13)</f>
        <v/>
      </c>
      <c r="Y14" s="177" t="str">
        <f>IF(U13="","",($U$13/100)*Y13)</f>
        <v/>
      </c>
      <c r="Z14" s="177" t="str">
        <f>IF(U13="","",($U$13/100)*Z13)</f>
        <v/>
      </c>
      <c r="AA14" s="175" t="str">
        <f>IF(U13="","",($U$13/100)*AA13)</f>
        <v/>
      </c>
      <c r="AB14" s="178" t="str">
        <f>IF(Z13="","",($U$13/100)*AB13)</f>
        <v/>
      </c>
      <c r="AC14" s="497"/>
    </row>
    <row r="15" spans="1:29" ht="18" customHeight="1" x14ac:dyDescent="0.25">
      <c r="A15" s="497"/>
      <c r="B15" s="504"/>
      <c r="C15" s="501"/>
      <c r="D15" s="501"/>
      <c r="E15" s="501"/>
      <c r="F15" s="501"/>
      <c r="G15" s="501"/>
      <c r="H15" s="501"/>
      <c r="I15" s="501"/>
      <c r="J15" s="502"/>
      <c r="K15" s="497"/>
      <c r="L15" s="504"/>
      <c r="M15" s="501"/>
      <c r="N15" s="501"/>
      <c r="O15" s="501"/>
      <c r="P15" s="501"/>
      <c r="Q15" s="501"/>
      <c r="R15" s="502"/>
      <c r="S15" s="526"/>
      <c r="T15" s="497"/>
      <c r="U15" s="1415"/>
      <c r="V15" s="1438"/>
      <c r="W15" s="1417"/>
      <c r="X15" s="615" t="str">
        <f>IF(U15="","",IF(V15="Mes_concentrés",VLOOKUP(W15,NOUVEAU!$R$22:$AA$38,4),VLOOKUP($W15,$W44:$AC93,3)))</f>
        <v/>
      </c>
      <c r="Y15" s="617" t="str">
        <f>IF(U15="","",IF(V15="Mes_concentrés",VLOOKUP(W15,NOUVEAU!$R$22:$AA$38,5),VLOOKUP($W15,$W44:$AC93,4)))</f>
        <v/>
      </c>
      <c r="Z15" s="617" t="str">
        <f>IF(U15="","",IF(V15="Mes_concentrés",VLOOKUP(W15,NOUVEAU!$R$22:$AA$38,6),VLOOKUP($W15,$W44:$AC93,5)))</f>
        <v/>
      </c>
      <c r="AA15" s="616" t="str">
        <f>IF(U15="","",IF(V15="Mes_concentrés",VLOOKUP(W15,NOUVEAU!$R$22:$AA$38,7),VLOOKUP($W15,$W44:$AC93,6)))</f>
        <v/>
      </c>
      <c r="AB15" s="625" t="str">
        <f>IF(U15="","",IF(V15="Mes_concentrés",VLOOKUP(W15,NOUVEAU!$R$22:$AA$38,8),VLOOKUP($W15,$W44:$AC93,7)))</f>
        <v/>
      </c>
      <c r="AC15" s="526"/>
    </row>
    <row r="16" spans="1:29" s="532" customFormat="1" ht="27.6" customHeight="1" x14ac:dyDescent="0.25">
      <c r="A16" s="497"/>
      <c r="B16" s="526"/>
      <c r="C16" s="526"/>
      <c r="D16" s="526"/>
      <c r="E16" s="526"/>
      <c r="F16" s="526"/>
      <c r="G16" s="526"/>
      <c r="H16" s="526"/>
      <c r="I16" s="526"/>
      <c r="J16" s="526"/>
      <c r="K16" s="497"/>
      <c r="L16" s="526"/>
      <c r="M16" s="526"/>
      <c r="N16" s="526"/>
      <c r="O16" s="526"/>
      <c r="P16" s="526"/>
      <c r="Q16" s="526"/>
      <c r="R16" s="526"/>
      <c r="S16" s="526"/>
      <c r="T16" s="497"/>
      <c r="U16" s="1416"/>
      <c r="V16" s="1439"/>
      <c r="W16" s="1418"/>
      <c r="X16" s="176" t="str">
        <f>IF(U15="","",($U$15/100)*X15)</f>
        <v/>
      </c>
      <c r="Y16" s="177" t="str">
        <f>IF(U15="","",($U$15/100)*Y15)</f>
        <v/>
      </c>
      <c r="Z16" s="177" t="str">
        <f>IF(U15="","",($U$15/100)*Z15)</f>
        <v/>
      </c>
      <c r="AA16" s="175" t="str">
        <f>IF(U15="","",($U$15/100)*AA15)</f>
        <v/>
      </c>
      <c r="AB16" s="178" t="str">
        <f>IF(U15="","",($U$15/100)*AB15)</f>
        <v/>
      </c>
      <c r="AC16" s="497"/>
    </row>
    <row r="17" spans="1:29" s="532" customFormat="1" ht="19.899999999999999" customHeight="1" x14ac:dyDescent="0.25">
      <c r="A17" s="497"/>
      <c r="B17" s="336"/>
      <c r="C17" s="1406" t="s">
        <v>740</v>
      </c>
      <c r="D17" s="1406"/>
      <c r="E17" s="1406"/>
      <c r="F17" s="1406"/>
      <c r="G17" s="1406"/>
      <c r="H17" s="1406"/>
      <c r="I17" s="587"/>
      <c r="J17" s="587"/>
      <c r="K17" s="1406" t="s">
        <v>774</v>
      </c>
      <c r="L17" s="1406"/>
      <c r="M17" s="1406"/>
      <c r="N17" s="1406"/>
      <c r="O17" s="1406"/>
      <c r="P17" s="1406"/>
      <c r="Q17" s="1406"/>
      <c r="R17" s="536"/>
      <c r="S17" s="612"/>
      <c r="T17" s="497"/>
      <c r="U17" s="1415"/>
      <c r="V17" s="1438"/>
      <c r="W17" s="1417"/>
      <c r="X17" s="615" t="str">
        <f>IF(U17="","",IF(V17="Mes_concentrés",VLOOKUP(W17,NOUVEAU!$R$22:$AA$38,4),VLOOKUP($W17,$W44:$AC93,3)))</f>
        <v/>
      </c>
      <c r="Y17" s="617" t="str">
        <f>IF(U17="","",IF(V17="Mes_concentrés",VLOOKUP(W17,NOUVEAU!$R$22:$AA$38,5),VLOOKUP($W17,$W44:$AC93,4)))</f>
        <v/>
      </c>
      <c r="Z17" s="617" t="str">
        <f>IF(U17="","",IF(V17="Mes_concentrés",VLOOKUP(W17,NOUVEAU!$R$22:$AA$38,6),VLOOKUP($W17,$W44:$AC93,5)))</f>
        <v/>
      </c>
      <c r="AA17" s="616" t="str">
        <f>IF(U17="","",IF(V17="Mes_concentrés",VLOOKUP(W17,NOUVEAU!$R$22:$AA$38,7),VLOOKUP($W17,$W44:$AC93,6)))</f>
        <v/>
      </c>
      <c r="AB17" s="625" t="str">
        <f>IF(U17="","",IF(V17="Mes_concentrés",VLOOKUP(W17,NOUVEAU!$R$22:$AA$38,8),VLOOKUP($W17,$W44:$AC93,7)))</f>
        <v/>
      </c>
      <c r="AC17" s="526"/>
    </row>
    <row r="18" spans="1:29" s="532" customFormat="1" ht="27.6" customHeight="1" x14ac:dyDescent="0.35">
      <c r="A18" s="497"/>
      <c r="B18" s="527"/>
      <c r="C18" s="581" t="s">
        <v>538</v>
      </c>
      <c r="D18" s="1137" t="s">
        <v>22</v>
      </c>
      <c r="E18" s="1137"/>
      <c r="F18" s="581" t="s">
        <v>514</v>
      </c>
      <c r="G18" s="581" t="s">
        <v>515</v>
      </c>
      <c r="H18" s="601" t="s">
        <v>105</v>
      </c>
      <c r="I18" s="623"/>
      <c r="J18" s="627"/>
      <c r="K18" s="1446"/>
      <c r="L18" s="1446"/>
      <c r="M18" s="1446"/>
      <c r="N18" s="1446"/>
      <c r="O18" s="1446"/>
      <c r="P18" s="1446"/>
      <c r="Q18" s="1446"/>
      <c r="R18" s="500"/>
      <c r="S18" s="526"/>
      <c r="T18" s="497"/>
      <c r="U18" s="1416"/>
      <c r="V18" s="1439"/>
      <c r="W18" s="1418"/>
      <c r="X18" s="176" t="str">
        <f>IF(U17="","",($U$17/100)*X17)</f>
        <v/>
      </c>
      <c r="Y18" s="177" t="str">
        <f>IF(U17="","",($U$17/100)*Y17)</f>
        <v/>
      </c>
      <c r="Z18" s="177" t="str">
        <f>IF(U17="","",($U$17/100)*Z17)</f>
        <v/>
      </c>
      <c r="AA18" s="175" t="str">
        <f>IF(U17="","",($U$17/100)*AA17)</f>
        <v/>
      </c>
      <c r="AB18" s="178" t="str">
        <f>IF(U17="","",($U$17/100)*AB17)</f>
        <v/>
      </c>
      <c r="AC18" s="497"/>
    </row>
    <row r="19" spans="1:29" s="532" customFormat="1" ht="21" customHeight="1" x14ac:dyDescent="0.25">
      <c r="A19" s="497"/>
      <c r="B19" s="1159" t="s">
        <v>741</v>
      </c>
      <c r="C19" s="1440" t="str">
        <f>P9</f>
        <v/>
      </c>
      <c r="D19" s="1441" t="str">
        <f>IF(E8="","",F14/P13)</f>
        <v/>
      </c>
      <c r="E19" s="1441"/>
      <c r="F19" s="1450" t="str">
        <f>IF(E8="","",G14/P13)</f>
        <v/>
      </c>
      <c r="G19" s="1450" t="str">
        <f>IF(E8="","",H14/P13)</f>
        <v/>
      </c>
      <c r="H19" s="1451" t="str">
        <f>IF(E8="","",G19/F19)</f>
        <v/>
      </c>
      <c r="I19" s="624"/>
      <c r="J19" s="628"/>
      <c r="K19" s="1446"/>
      <c r="L19" s="1446"/>
      <c r="M19" s="1446"/>
      <c r="N19" s="1446"/>
      <c r="O19" s="1446"/>
      <c r="P19" s="1446"/>
      <c r="Q19" s="1446"/>
      <c r="R19" s="500"/>
      <c r="S19" s="526"/>
      <c r="T19" s="497"/>
      <c r="U19" s="1415"/>
      <c r="V19" s="1438"/>
      <c r="W19" s="1417"/>
      <c r="X19" s="615" t="str">
        <f>IF(U19="","",IF(V19="Mes_concentrés",VLOOKUP(W19,NOUVEAU!$R$22:$AA$38,4),VLOOKUP($W19,$W44:$AC93,3)))</f>
        <v/>
      </c>
      <c r="Y19" s="617" t="str">
        <f>IF(U19="","",IF(V19="Mes_concentrés",VLOOKUP(W19,NOUVEAU!$R$22:$AA$38,5),VLOOKUP($W19,$W44:$AC93,4)))</f>
        <v/>
      </c>
      <c r="Z19" s="617" t="str">
        <f>IF(U19="","",IF(V19="Mes_concentrés",VLOOKUP(W19,NOUVEAU!$R$22:$AA$38,6),VLOOKUP($W19,$W44:$AC93,5)))</f>
        <v/>
      </c>
      <c r="AA19" s="616" t="str">
        <f>IF(U19="","",IF(V19="Mes_concentrés",VLOOKUP(W19,NOUVEAU!$R$22:$AA$38,7),VLOOKUP($W19,$W44:$AC93,6)))</f>
        <v/>
      </c>
      <c r="AB19" s="625" t="str">
        <f>IF(U19="","",IF(V19="Mes_concentrés",VLOOKUP(W19,NOUVEAU!$R$22:$AA$38,8),VLOOKUP($W19,$W44:$AC93,7)))</f>
        <v/>
      </c>
      <c r="AC19" s="497"/>
    </row>
    <row r="20" spans="1:29" s="532" customFormat="1" ht="27.75" customHeight="1" thickBot="1" x14ac:dyDescent="0.3">
      <c r="A20" s="497"/>
      <c r="B20" s="1159"/>
      <c r="C20" s="1440"/>
      <c r="D20" s="1441"/>
      <c r="E20" s="1441"/>
      <c r="F20" s="1450"/>
      <c r="G20" s="1450"/>
      <c r="H20" s="1451"/>
      <c r="I20" s="624"/>
      <c r="J20" s="628"/>
      <c r="K20" s="1452">
        <f>(40-Q34)/(Q35/1000)</f>
        <v>0</v>
      </c>
      <c r="L20" s="1452"/>
      <c r="M20" s="1452"/>
      <c r="N20" s="1452"/>
      <c r="O20" s="1457" t="s">
        <v>770</v>
      </c>
      <c r="P20" s="1457"/>
      <c r="Q20" s="1457"/>
      <c r="R20" s="500"/>
      <c r="S20" s="526"/>
      <c r="T20" s="497"/>
      <c r="U20" s="1416"/>
      <c r="V20" s="1439"/>
      <c r="W20" s="1418"/>
      <c r="X20" s="176" t="str">
        <f>IF(U19="","",($U$19/100)*X19)</f>
        <v/>
      </c>
      <c r="Y20" s="177" t="str">
        <f>IF(U19="","",($U$19/100)*Y19)</f>
        <v/>
      </c>
      <c r="Z20" s="177" t="str">
        <f>IF(U19="","",($U$19/100)*Z19)</f>
        <v/>
      </c>
      <c r="AA20" s="175" t="str">
        <f>IF(U19="","",($U$19/100)*AA19)</f>
        <v/>
      </c>
      <c r="AB20" s="178" t="str">
        <f>IF(U19="","",($U$19/100)*AB19)</f>
        <v/>
      </c>
      <c r="AC20" s="497"/>
    </row>
    <row r="21" spans="1:29" s="582" customFormat="1" ht="15" customHeight="1" x14ac:dyDescent="0.25">
      <c r="A21" s="497"/>
      <c r="B21" s="22"/>
      <c r="C21" s="594"/>
      <c r="D21" s="595"/>
      <c r="E21" s="595"/>
      <c r="F21" s="596"/>
      <c r="G21" s="596"/>
      <c r="H21" s="597"/>
      <c r="I21" s="597"/>
      <c r="J21" s="501"/>
      <c r="K21" s="598"/>
      <c r="L21" s="598"/>
      <c r="M21" s="598"/>
      <c r="N21" s="598"/>
      <c r="O21" s="598"/>
      <c r="P21" s="599"/>
      <c r="Q21" s="599"/>
      <c r="R21" s="502"/>
      <c r="S21" s="526"/>
      <c r="T21" s="497"/>
      <c r="U21" s="1461" t="str">
        <f>IF(SUM(U9,U11,U13,U15,U17,U19)=0,"",SUM(U9:U20))</f>
        <v/>
      </c>
      <c r="V21" s="1469"/>
      <c r="W21" s="1459" t="s">
        <v>93</v>
      </c>
      <c r="X21" s="1435" t="str">
        <f>IF(U9="","",SUM(X10,X12,X14,X16,X18,X20))</f>
        <v/>
      </c>
      <c r="Y21" s="1433" t="str">
        <f>IF(U9="","",SUM(Y10,Y12,Y14,Y16,Y18,Y20))</f>
        <v/>
      </c>
      <c r="Z21" s="1433" t="str">
        <f>IF(U9="","",SUM(Z10,Z12,Z14,Z16,Z18,Z20))</f>
        <v/>
      </c>
      <c r="AA21" s="1431" t="str">
        <f>IF(U9="","",SUM(AA10,AA12,AA14,AA16,AA18,AA20))</f>
        <v/>
      </c>
      <c r="AB21" s="1429" t="str">
        <f>IF(U9="","",SUM(AB10,AB12,AB14,AB16,AB18,AB20))</f>
        <v/>
      </c>
      <c r="AC21" s="497"/>
    </row>
    <row r="22" spans="1:29" s="582" customFormat="1" ht="18" customHeight="1" thickBot="1" x14ac:dyDescent="0.3">
      <c r="A22" s="497"/>
      <c r="B22" s="584"/>
      <c r="C22" s="588"/>
      <c r="D22" s="589"/>
      <c r="E22" s="589"/>
      <c r="F22" s="590"/>
      <c r="G22" s="590"/>
      <c r="H22" s="591"/>
      <c r="I22" s="591"/>
      <c r="J22" s="526"/>
      <c r="K22" s="592"/>
      <c r="L22" s="592"/>
      <c r="M22" s="592"/>
      <c r="N22" s="592"/>
      <c r="O22" s="592"/>
      <c r="P22" s="593"/>
      <c r="Q22" s="593"/>
      <c r="R22" s="526"/>
      <c r="S22" s="526"/>
      <c r="T22" s="497"/>
      <c r="U22" s="1462"/>
      <c r="V22" s="1470"/>
      <c r="W22" s="1460"/>
      <c r="X22" s="1436"/>
      <c r="Y22" s="1434"/>
      <c r="Z22" s="1434"/>
      <c r="AA22" s="1432"/>
      <c r="AB22" s="1430"/>
      <c r="AC22" s="497"/>
    </row>
    <row r="23" spans="1:29" s="582" customFormat="1" ht="42" customHeight="1" thickBot="1" x14ac:dyDescent="0.3">
      <c r="A23" s="497"/>
      <c r="B23" s="336"/>
      <c r="C23" s="1447" t="s">
        <v>1201</v>
      </c>
      <c r="D23" s="1448"/>
      <c r="E23" s="1448"/>
      <c r="F23" s="1448"/>
      <c r="G23" s="330"/>
      <c r="H23" s="1455" t="s">
        <v>773</v>
      </c>
      <c r="I23" s="1455"/>
      <c r="J23" s="1455"/>
      <c r="K23" s="1455"/>
      <c r="L23" s="1455"/>
      <c r="M23" s="1455"/>
      <c r="N23" s="1455"/>
      <c r="O23" s="1455"/>
      <c r="P23" s="1455"/>
      <c r="Q23" s="1455"/>
      <c r="R23" s="498"/>
      <c r="S23" s="526"/>
      <c r="T23" s="998"/>
      <c r="U23" s="1456" t="str">
        <f>CONCATENATE("   Votre aliment contient  ",ROUND(Q62,1)," %  de MAT  et  ",ROUND(Q74,1),"  %  de Cellulose")</f>
        <v xml:space="preserve">   Votre aliment contient  0 %  de MAT  et  0  %  de Cellulose</v>
      </c>
      <c r="V23" s="1456"/>
      <c r="W23" s="1456"/>
      <c r="X23" s="1456"/>
      <c r="Y23" s="1456"/>
      <c r="Z23" s="1456"/>
      <c r="AA23" s="1456"/>
      <c r="AB23" s="1456"/>
      <c r="AC23" s="526"/>
    </row>
    <row r="24" spans="1:29" s="582" customFormat="1" ht="19.5" customHeight="1" x14ac:dyDescent="0.25">
      <c r="A24" s="497"/>
      <c r="B24" s="1424" t="s">
        <v>1202</v>
      </c>
      <c r="C24" s="1425"/>
      <c r="D24" s="1423"/>
      <c r="E24" s="1423"/>
      <c r="F24" s="1140" t="s">
        <v>772</v>
      </c>
      <c r="G24" s="1140"/>
      <c r="H24" s="1449" t="str">
        <f>IF(D27="","",P13*D27)</f>
        <v/>
      </c>
      <c r="I24" s="626"/>
      <c r="J24" s="1442" t="str">
        <f>IF(H24="","","kg")</f>
        <v/>
      </c>
      <c r="K24" s="526"/>
      <c r="L24" s="1445" t="s">
        <v>771</v>
      </c>
      <c r="M24" s="1445"/>
      <c r="N24" s="1445"/>
      <c r="O24" s="526"/>
      <c r="P24" s="1453" t="s">
        <v>142</v>
      </c>
      <c r="Q24" s="1453"/>
      <c r="R24" s="500"/>
      <c r="S24" s="526"/>
      <c r="T24" s="497"/>
      <c r="U24" s="1466" t="str">
        <f>IF(U21=100,"",IF(U21&gt;100,"&gt;100%","&lt;100%"))</f>
        <v>&gt;100%</v>
      </c>
      <c r="V24" s="666"/>
      <c r="W24" s="1464" t="s">
        <v>90</v>
      </c>
      <c r="X24" s="1393" t="str">
        <f>IF(U9="","",X21-C19)</f>
        <v/>
      </c>
      <c r="Y24" s="1391" t="str">
        <f>IF(U9="","",Y21-D19)</f>
        <v/>
      </c>
      <c r="Z24" s="1391" t="str">
        <f>IF(U9="","",Z21-D19)</f>
        <v/>
      </c>
      <c r="AA24" s="1389" t="str">
        <f>IF(U9="","",AA21-F19)</f>
        <v/>
      </c>
      <c r="AB24" s="1389" t="str">
        <f>IF(U9="","",AB21-G19)</f>
        <v/>
      </c>
      <c r="AC24" s="497"/>
    </row>
    <row r="25" spans="1:29" s="582" customFormat="1" ht="18" customHeight="1" thickBot="1" x14ac:dyDescent="0.3">
      <c r="A25" s="497"/>
      <c r="B25" s="1424"/>
      <c r="C25" s="1425"/>
      <c r="D25" s="1423"/>
      <c r="E25" s="1423"/>
      <c r="F25" s="1140"/>
      <c r="G25" s="1140"/>
      <c r="H25" s="1449"/>
      <c r="I25" s="626"/>
      <c r="J25" s="1442"/>
      <c r="K25" s="526"/>
      <c r="L25" s="1445"/>
      <c r="M25" s="1445"/>
      <c r="N25" s="1445"/>
      <c r="O25" s="526"/>
      <c r="P25" s="1453"/>
      <c r="Q25" s="1453"/>
      <c r="R25" s="500"/>
      <c r="S25" s="526"/>
      <c r="T25" s="497"/>
      <c r="U25" s="1467"/>
      <c r="V25" s="667"/>
      <c r="W25" s="1465"/>
      <c r="X25" s="1394"/>
      <c r="Y25" s="1392"/>
      <c r="Z25" s="1392"/>
      <c r="AA25" s="1390"/>
      <c r="AB25" s="1390"/>
      <c r="AC25" s="497"/>
    </row>
    <row r="26" spans="1:29" s="582" customFormat="1" ht="15" customHeight="1" x14ac:dyDescent="0.25">
      <c r="A26" s="497"/>
      <c r="B26" s="527"/>
      <c r="C26" s="583"/>
      <c r="D26" s="583"/>
      <c r="E26" s="583"/>
      <c r="F26" s="600"/>
      <c r="G26" s="600"/>
      <c r="H26" s="583"/>
      <c r="I26" s="583"/>
      <c r="J26" s="583"/>
      <c r="K26" s="618"/>
      <c r="L26" s="1444" t="str">
        <f>IF(D27="","",H24*K20)</f>
        <v/>
      </c>
      <c r="M26" s="1444"/>
      <c r="N26" s="1443" t="str">
        <f>IF(L26="","","kg")</f>
        <v/>
      </c>
      <c r="O26" s="583"/>
      <c r="P26" s="1463" t="str">
        <f>IF(D27="","",(D24*L26)/1000)</f>
        <v/>
      </c>
      <c r="Q26" s="1463"/>
      <c r="R26" s="500"/>
      <c r="S26" s="526"/>
      <c r="T26" s="497"/>
      <c r="U26" s="614"/>
      <c r="V26" s="614"/>
      <c r="W26" s="614"/>
      <c r="X26" s="613"/>
      <c r="Y26" s="613"/>
      <c r="Z26" s="613"/>
      <c r="AA26" s="613"/>
      <c r="AB26" s="613"/>
      <c r="AC26" s="497"/>
    </row>
    <row r="27" spans="1:29" s="582" customFormat="1" ht="38.25" customHeight="1" x14ac:dyDescent="0.25">
      <c r="A27" s="497"/>
      <c r="B27" s="1424" t="s">
        <v>738</v>
      </c>
      <c r="C27" s="1425"/>
      <c r="D27" s="1426"/>
      <c r="E27" s="1426"/>
      <c r="F27" s="1140" t="s">
        <v>739</v>
      </c>
      <c r="G27" s="1140"/>
      <c r="H27" s="1427" t="str">
        <f>IF(D27="","",(P13*D24*D27)/1000)</f>
        <v/>
      </c>
      <c r="I27" s="1427"/>
      <c r="J27" s="1427"/>
      <c r="K27" s="526"/>
      <c r="L27" s="1444"/>
      <c r="M27" s="1444"/>
      <c r="N27" s="1443"/>
      <c r="O27" s="526"/>
      <c r="P27" s="1463"/>
      <c r="Q27" s="1463"/>
      <c r="R27" s="500"/>
      <c r="S27" s="526"/>
      <c r="T27" s="1468" t="str">
        <f>IF(U9="","",IF(Q74&lt;6,"ATTENTION !  aliment acidogène: augmentez la cellulose",""))</f>
        <v/>
      </c>
      <c r="U27" s="1468"/>
      <c r="V27" s="1468"/>
      <c r="W27" s="1395" t="str">
        <f>IF(U9="","",IF(C19&gt;X21+0.03,"Augmentez l'énergie (céréales...)",IF(C19&lt;X21-0.03,"Diminuez l'énergie (Pulpe…)","")))</f>
        <v/>
      </c>
      <c r="X27" s="1395"/>
      <c r="Y27" s="1395" t="str">
        <f>IF(U9="","",IF(Y24&gt;5,"Diminez l'azote (Céréales, pulpe…)",IF(Y24&lt;-5,"Augmentez l'azote (Tourteau, luzerne…)","")))</f>
        <v/>
      </c>
      <c r="Z27" s="1395"/>
      <c r="AA27" s="1395"/>
      <c r="AB27" s="1395"/>
      <c r="AC27" s="497"/>
    </row>
    <row r="28" spans="1:29" s="582" customFormat="1" ht="24.6" customHeight="1" x14ac:dyDescent="0.25">
      <c r="A28" s="497"/>
      <c r="B28" s="504"/>
      <c r="C28" s="501"/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501"/>
      <c r="R28" s="502"/>
      <c r="S28" s="526"/>
      <c r="T28" s="1468"/>
      <c r="U28" s="1468"/>
      <c r="V28" s="1468"/>
      <c r="W28" s="1395"/>
      <c r="X28" s="1395"/>
      <c r="Y28" s="1395"/>
      <c r="Z28" s="1395"/>
      <c r="AA28" s="1395"/>
      <c r="AB28" s="1395"/>
      <c r="AC28" s="497"/>
    </row>
    <row r="29" spans="1:29" s="532" customFormat="1" x14ac:dyDescent="0.25">
      <c r="A29" s="497"/>
      <c r="B29" s="526"/>
      <c r="C29" s="526"/>
      <c r="D29" s="526"/>
      <c r="E29" s="526"/>
      <c r="F29" s="526"/>
      <c r="G29" s="526"/>
      <c r="H29" s="526"/>
      <c r="I29" s="526"/>
      <c r="J29" s="526"/>
      <c r="K29" s="526"/>
      <c r="L29" s="526"/>
      <c r="M29" s="526"/>
      <c r="N29" s="526"/>
      <c r="O29" s="526"/>
      <c r="P29" s="526"/>
      <c r="Q29" s="526"/>
      <c r="R29" s="526"/>
      <c r="S29" s="526"/>
      <c r="T29" s="497"/>
      <c r="U29" s="606"/>
      <c r="V29" s="661"/>
      <c r="W29" s="606"/>
      <c r="X29" s="497"/>
      <c r="Y29" s="497"/>
      <c r="Z29" s="497"/>
      <c r="AA29" s="497"/>
      <c r="AB29" s="497"/>
      <c r="AC29" s="497"/>
    </row>
    <row r="30" spans="1:29" ht="15.6" customHeight="1" x14ac:dyDescent="0.25">
      <c r="A30" s="490"/>
      <c r="B30" s="490"/>
      <c r="C30" s="490"/>
      <c r="D30" s="490"/>
      <c r="E30" s="490"/>
      <c r="F30" s="490"/>
      <c r="G30" s="490"/>
      <c r="H30" s="490"/>
      <c r="I30" s="490"/>
      <c r="J30" s="490"/>
      <c r="K30" s="490"/>
      <c r="L30" s="490"/>
      <c r="M30" s="490"/>
      <c r="N30" s="490"/>
      <c r="O30" s="490"/>
      <c r="P30" s="490"/>
      <c r="Q30" s="490"/>
      <c r="R30" s="489"/>
      <c r="T30" s="489"/>
      <c r="AC30" s="366"/>
    </row>
    <row r="31" spans="1:29" hidden="1" outlineLevel="1" x14ac:dyDescent="0.25">
      <c r="A31" s="490"/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  <c r="M31" s="490"/>
      <c r="N31" s="490"/>
      <c r="O31" s="490"/>
      <c r="P31" s="490"/>
      <c r="Q31" s="490"/>
      <c r="R31" s="489"/>
      <c r="T31" s="489"/>
      <c r="AC31" s="366"/>
    </row>
    <row r="32" spans="1:29" hidden="1" outlineLevel="1" x14ac:dyDescent="0.25">
      <c r="A32" s="490"/>
      <c r="B32" s="490"/>
      <c r="C32" s="490"/>
      <c r="D32" s="490"/>
      <c r="E32" s="490" t="s">
        <v>540</v>
      </c>
      <c r="F32" s="490" t="s">
        <v>541</v>
      </c>
      <c r="G32" s="490"/>
      <c r="H32" s="490" t="s">
        <v>542</v>
      </c>
      <c r="I32" s="490" t="s">
        <v>543</v>
      </c>
      <c r="J32" s="490"/>
      <c r="K32" s="490"/>
      <c r="L32" s="490"/>
      <c r="M32" s="490"/>
      <c r="N32" s="490"/>
      <c r="O32" s="490"/>
      <c r="P32" s="528"/>
      <c r="Q32" s="490"/>
      <c r="R32" s="489"/>
      <c r="T32" s="489"/>
    </row>
    <row r="33" spans="1:31" hidden="1" outlineLevel="1" x14ac:dyDescent="0.25">
      <c r="A33" s="490"/>
      <c r="B33" s="490"/>
      <c r="C33" s="490"/>
      <c r="D33" s="490"/>
      <c r="E33" s="490" t="s">
        <v>544</v>
      </c>
      <c r="F33" s="490" t="s">
        <v>545</v>
      </c>
      <c r="G33" s="490"/>
      <c r="H33" s="490" t="s">
        <v>546</v>
      </c>
      <c r="I33" s="537">
        <v>1</v>
      </c>
      <c r="J33" s="490"/>
      <c r="K33" s="490"/>
      <c r="L33" s="490"/>
      <c r="M33" s="490"/>
      <c r="N33" s="490"/>
      <c r="O33" s="490"/>
      <c r="P33" s="490"/>
      <c r="Q33" s="490"/>
      <c r="R33" s="489"/>
      <c r="T33" s="489"/>
    </row>
    <row r="34" spans="1:31" hidden="1" outlineLevel="1" x14ac:dyDescent="0.25">
      <c r="A34" s="490"/>
      <c r="B34" s="490"/>
      <c r="C34" s="490"/>
      <c r="D34" s="490"/>
      <c r="E34" s="490" t="s">
        <v>547</v>
      </c>
      <c r="F34" s="490" t="s">
        <v>548</v>
      </c>
      <c r="G34" s="490"/>
      <c r="H34" s="490" t="s">
        <v>549</v>
      </c>
      <c r="I34" s="490"/>
      <c r="J34" s="490"/>
      <c r="K34" s="490"/>
      <c r="L34" s="490"/>
      <c r="M34" s="490"/>
      <c r="N34" s="515" t="e">
        <v>#REF!</v>
      </c>
      <c r="O34" s="490"/>
      <c r="P34" s="490"/>
      <c r="Q34" s="490">
        <f>IF(C12="15 kg",15,IF(C12="20 kg",20,IF(C12="25 kg",25,IF(C12="30 kg",30,IF(C12="35 kg",35,40)))))</f>
        <v>40</v>
      </c>
      <c r="R34" s="489"/>
      <c r="T34" s="489"/>
    </row>
    <row r="35" spans="1:31" hidden="1" outlineLevel="1" x14ac:dyDescent="0.25">
      <c r="A35" s="490"/>
      <c r="B35" s="490"/>
      <c r="C35" s="490"/>
      <c r="D35" s="490"/>
      <c r="E35" s="490" t="s">
        <v>550</v>
      </c>
      <c r="F35" s="490" t="s">
        <v>551</v>
      </c>
      <c r="G35" s="490"/>
      <c r="H35" s="490" t="s">
        <v>552</v>
      </c>
      <c r="I35" s="490" t="s">
        <v>553</v>
      </c>
      <c r="J35" s="490"/>
      <c r="K35" s="490"/>
      <c r="L35" s="490"/>
      <c r="M35" s="490"/>
      <c r="N35" s="490"/>
      <c r="O35" s="490"/>
      <c r="P35" s="490"/>
      <c r="Q35" s="582">
        <f>IF(C14="150 g",150,IF(C14="200 g",200,IF(C14="250 g",250,IF(C14="300 g",300,IF(C14="350 g",350,IF(C14="400 g",400,450))))))</f>
        <v>450</v>
      </c>
      <c r="R35" s="489"/>
      <c r="T35" s="489"/>
    </row>
    <row r="36" spans="1:31" hidden="1" outlineLevel="1" x14ac:dyDescent="0.25">
      <c r="A36" s="490"/>
      <c r="B36" s="490"/>
      <c r="C36" s="490"/>
      <c r="D36" s="490"/>
      <c r="E36" s="490" t="s">
        <v>554</v>
      </c>
      <c r="F36" s="490"/>
      <c r="G36" s="490"/>
      <c r="H36" s="490" t="s">
        <v>555</v>
      </c>
      <c r="I36" s="157" t="b">
        <v>1</v>
      </c>
      <c r="J36" s="490"/>
      <c r="K36" s="490"/>
      <c r="L36" s="490"/>
      <c r="M36" s="490"/>
      <c r="N36" s="490"/>
      <c r="O36" s="490"/>
      <c r="P36" s="490"/>
      <c r="Q36" s="490"/>
      <c r="R36" s="489"/>
      <c r="T36" s="489"/>
    </row>
    <row r="37" spans="1:31" hidden="1" outlineLevel="1" x14ac:dyDescent="0.25">
      <c r="A37" s="490"/>
      <c r="B37" s="490"/>
      <c r="C37" s="490"/>
      <c r="D37" s="490"/>
      <c r="E37" s="490" t="s">
        <v>556</v>
      </c>
      <c r="F37" s="490"/>
      <c r="G37" s="490"/>
      <c r="H37" s="490" t="s">
        <v>557</v>
      </c>
      <c r="I37" s="490"/>
      <c r="J37" s="490"/>
      <c r="K37" s="490"/>
      <c r="L37" s="490"/>
      <c r="M37" s="490"/>
      <c r="N37" s="490"/>
      <c r="O37" s="490"/>
      <c r="P37" s="490"/>
      <c r="Q37" s="490"/>
      <c r="R37" s="489"/>
      <c r="T37" s="489"/>
    </row>
    <row r="38" spans="1:31" hidden="1" outlineLevel="1" x14ac:dyDescent="0.25">
      <c r="A38" s="490"/>
      <c r="B38" s="490"/>
      <c r="C38" s="490"/>
      <c r="D38" s="490"/>
      <c r="E38" s="490" t="s">
        <v>558</v>
      </c>
      <c r="F38" s="490"/>
      <c r="G38" s="490"/>
      <c r="H38" s="490"/>
      <c r="I38" s="490"/>
      <c r="J38" s="490"/>
      <c r="K38" s="490"/>
      <c r="L38" s="535">
        <v>1</v>
      </c>
      <c r="M38" s="535">
        <f>IF(L38=1,0.8,IF(L38=2,0.85,IF(L38=3,0.9,IF(L38=4,0.95,1))))</f>
        <v>0.8</v>
      </c>
      <c r="N38" s="490"/>
      <c r="O38" s="490"/>
      <c r="P38" s="490"/>
      <c r="Q38" s="490"/>
      <c r="R38" s="489"/>
      <c r="T38" s="489"/>
    </row>
    <row r="39" spans="1:31" hidden="1" outlineLevel="1" x14ac:dyDescent="0.25">
      <c r="A39" s="490"/>
      <c r="B39" s="492"/>
      <c r="C39" s="490"/>
      <c r="D39" s="490"/>
      <c r="E39" s="490"/>
      <c r="F39" s="490"/>
      <c r="G39" s="490"/>
      <c r="H39" s="490"/>
      <c r="I39" s="490"/>
      <c r="J39" s="490"/>
      <c r="K39" s="490"/>
      <c r="L39" s="490"/>
      <c r="M39" s="490"/>
      <c r="N39" s="490"/>
      <c r="O39" s="490"/>
      <c r="P39" s="490"/>
      <c r="Q39" s="490"/>
      <c r="R39" s="489"/>
      <c r="T39" s="489"/>
    </row>
    <row r="40" spans="1:31" hidden="1" outlineLevel="1" x14ac:dyDescent="0.25">
      <c r="A40" s="490"/>
      <c r="B40" s="490"/>
      <c r="C40" s="490"/>
      <c r="D40" s="490"/>
      <c r="E40" s="490"/>
      <c r="F40" s="490"/>
      <c r="G40" s="490"/>
      <c r="H40" s="519">
        <v>0</v>
      </c>
      <c r="I40" s="521"/>
      <c r="J40" s="520" t="s">
        <v>559</v>
      </c>
      <c r="K40" s="490"/>
      <c r="O40" s="490"/>
      <c r="P40" s="490"/>
      <c r="Q40" s="490"/>
      <c r="R40" s="489"/>
      <c r="T40" s="489"/>
    </row>
    <row r="41" spans="1:31" hidden="1" outlineLevel="1" x14ac:dyDescent="0.25">
      <c r="A41" s="490"/>
      <c r="B41" s="490"/>
      <c r="C41" s="490"/>
      <c r="D41" s="490"/>
      <c r="E41" s="490"/>
      <c r="F41" s="490"/>
      <c r="G41" s="490"/>
      <c r="H41" s="490"/>
      <c r="I41" s="490"/>
      <c r="J41" s="490"/>
      <c r="K41" s="490"/>
      <c r="L41" s="490"/>
      <c r="M41" s="490"/>
      <c r="N41" s="490"/>
      <c r="O41" s="490"/>
      <c r="P41" s="490"/>
      <c r="Q41" s="490"/>
      <c r="R41" s="489"/>
      <c r="T41" s="489"/>
    </row>
    <row r="42" spans="1:31" hidden="1" outlineLevel="1" x14ac:dyDescent="0.25">
      <c r="A42" s="490"/>
      <c r="B42" s="490"/>
      <c r="C42" s="490"/>
      <c r="D42" s="490"/>
      <c r="E42" s="490"/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  <c r="Q42" s="490"/>
      <c r="R42" s="489"/>
      <c r="T42" s="489"/>
    </row>
    <row r="43" spans="1:31" ht="18" hidden="1" outlineLevel="1" x14ac:dyDescent="0.35">
      <c r="A43" s="490"/>
      <c r="B43" s="490"/>
      <c r="C43" s="494" t="s">
        <v>95</v>
      </c>
      <c r="D43" s="494" t="s">
        <v>539</v>
      </c>
      <c r="E43" s="494" t="s">
        <v>560</v>
      </c>
      <c r="F43" s="494" t="s">
        <v>561</v>
      </c>
      <c r="G43" s="490"/>
      <c r="H43" s="494" t="s">
        <v>254</v>
      </c>
      <c r="I43" s="494" t="s">
        <v>21</v>
      </c>
      <c r="J43" s="494" t="s">
        <v>3</v>
      </c>
      <c r="K43" s="494" t="s">
        <v>4</v>
      </c>
      <c r="L43" s="513"/>
      <c r="M43" s="491"/>
      <c r="N43" s="490"/>
      <c r="O43" s="490"/>
      <c r="P43" s="490"/>
      <c r="Q43" s="490"/>
      <c r="R43" s="489"/>
      <c r="T43" s="489"/>
      <c r="W43" s="383" t="s">
        <v>1</v>
      </c>
      <c r="X43" s="217" t="s">
        <v>1277</v>
      </c>
      <c r="Y43" s="13" t="s">
        <v>538</v>
      </c>
      <c r="Z43" s="13" t="s">
        <v>42</v>
      </c>
      <c r="AA43" s="13" t="s">
        <v>43</v>
      </c>
      <c r="AB43" s="13" t="s">
        <v>71</v>
      </c>
      <c r="AC43" s="13" t="s">
        <v>72</v>
      </c>
      <c r="AD43" s="217" t="s">
        <v>1238</v>
      </c>
      <c r="AE43" s="13" t="s">
        <v>1241</v>
      </c>
    </row>
    <row r="44" spans="1:31" hidden="1" outlineLevel="1" x14ac:dyDescent="0.25">
      <c r="A44" s="490"/>
      <c r="B44" s="490"/>
      <c r="C44" s="509" t="s">
        <v>542</v>
      </c>
      <c r="D44" s="509" t="s">
        <v>540</v>
      </c>
      <c r="E44" s="509" t="s">
        <v>562</v>
      </c>
      <c r="F44" s="509" t="s">
        <v>563</v>
      </c>
      <c r="G44" s="515" t="s">
        <v>564</v>
      </c>
      <c r="H44" s="509" t="s">
        <v>238</v>
      </c>
      <c r="I44" s="509" t="s">
        <v>238</v>
      </c>
      <c r="J44" s="509" t="s">
        <v>238</v>
      </c>
      <c r="K44" s="509" t="s">
        <v>238</v>
      </c>
      <c r="L44" s="514">
        <v>22</v>
      </c>
      <c r="M44" s="522"/>
      <c r="N44" s="490"/>
      <c r="O44" s="490"/>
      <c r="P44" s="490"/>
      <c r="Q44" s="490" t="s">
        <v>40</v>
      </c>
      <c r="R44" s="489"/>
      <c r="T44" s="489"/>
      <c r="W44" s="383" t="s">
        <v>58</v>
      </c>
      <c r="X44" s="383">
        <v>3</v>
      </c>
      <c r="Y44" s="196">
        <v>0.71</v>
      </c>
      <c r="Z44" s="383">
        <v>61</v>
      </c>
      <c r="AA44" s="383">
        <v>61</v>
      </c>
      <c r="AB44" s="197">
        <v>2.4</v>
      </c>
      <c r="AC44" s="197">
        <v>0.6</v>
      </c>
      <c r="AD44" s="202">
        <v>11.1</v>
      </c>
      <c r="AE44" s="221">
        <v>13.8</v>
      </c>
    </row>
    <row r="45" spans="1:31" hidden="1" outlineLevel="1" x14ac:dyDescent="0.25">
      <c r="A45" s="490"/>
      <c r="B45" s="490"/>
      <c r="C45" s="509" t="s">
        <v>542</v>
      </c>
      <c r="D45" s="509" t="s">
        <v>544</v>
      </c>
      <c r="E45" s="509" t="s">
        <v>562</v>
      </c>
      <c r="F45" s="509" t="s">
        <v>563</v>
      </c>
      <c r="G45" s="515" t="s">
        <v>565</v>
      </c>
      <c r="H45" s="509" t="s">
        <v>238</v>
      </c>
      <c r="I45" s="509" t="s">
        <v>238</v>
      </c>
      <c r="J45" s="509" t="s">
        <v>238</v>
      </c>
      <c r="K45" s="509" t="s">
        <v>238</v>
      </c>
      <c r="L45" s="514">
        <v>23</v>
      </c>
      <c r="M45" s="522"/>
      <c r="N45" s="490"/>
      <c r="O45" s="490"/>
      <c r="P45" s="490"/>
      <c r="Q45" s="490" t="s">
        <v>57</v>
      </c>
      <c r="R45" s="489"/>
      <c r="T45" s="489"/>
      <c r="W45" s="221" t="s">
        <v>441</v>
      </c>
      <c r="X45" s="383">
        <v>0</v>
      </c>
      <c r="Y45" s="383">
        <v>0</v>
      </c>
      <c r="Z45" s="383">
        <v>0</v>
      </c>
      <c r="AA45" s="383">
        <v>0</v>
      </c>
      <c r="AB45" s="383">
        <v>0</v>
      </c>
      <c r="AC45" s="383">
        <v>0</v>
      </c>
      <c r="AD45" s="202">
        <v>0</v>
      </c>
      <c r="AE45" s="221">
        <v>0</v>
      </c>
    </row>
    <row r="46" spans="1:31" hidden="1" outlineLevel="1" x14ac:dyDescent="0.25">
      <c r="A46" s="490"/>
      <c r="B46" s="490"/>
      <c r="C46" s="509" t="s">
        <v>542</v>
      </c>
      <c r="D46" s="509" t="s">
        <v>547</v>
      </c>
      <c r="E46" s="509" t="s">
        <v>562</v>
      </c>
      <c r="F46" s="509" t="s">
        <v>563</v>
      </c>
      <c r="G46" s="515" t="s">
        <v>566</v>
      </c>
      <c r="H46" s="509" t="s">
        <v>238</v>
      </c>
      <c r="I46" s="509" t="s">
        <v>238</v>
      </c>
      <c r="J46" s="509" t="s">
        <v>238</v>
      </c>
      <c r="K46" s="509" t="s">
        <v>238</v>
      </c>
      <c r="L46" s="514">
        <v>24</v>
      </c>
      <c r="M46" s="522"/>
      <c r="N46" s="489"/>
      <c r="O46" s="489"/>
      <c r="P46" s="489"/>
      <c r="Q46" s="489" t="s">
        <v>905</v>
      </c>
      <c r="R46" s="489"/>
      <c r="T46" s="489"/>
      <c r="W46" s="383" t="s">
        <v>51</v>
      </c>
      <c r="X46" s="383">
        <v>5</v>
      </c>
      <c r="Y46" s="196">
        <v>1.02</v>
      </c>
      <c r="Z46" s="383">
        <v>70</v>
      </c>
      <c r="AA46" s="383">
        <v>89</v>
      </c>
      <c r="AB46" s="197">
        <v>2.2999999999999998</v>
      </c>
      <c r="AC46" s="197">
        <v>0.3</v>
      </c>
      <c r="AD46" s="202">
        <v>12.1</v>
      </c>
      <c r="AE46" s="221">
        <v>2.6</v>
      </c>
    </row>
    <row r="47" spans="1:31" hidden="1" outlineLevel="1" x14ac:dyDescent="0.25">
      <c r="A47" s="490"/>
      <c r="B47" s="490"/>
      <c r="C47" s="509" t="s">
        <v>542</v>
      </c>
      <c r="D47" s="509" t="s">
        <v>550</v>
      </c>
      <c r="E47" s="509" t="s">
        <v>562</v>
      </c>
      <c r="F47" s="509" t="s">
        <v>563</v>
      </c>
      <c r="G47" s="515" t="s">
        <v>567</v>
      </c>
      <c r="H47" s="509" t="s">
        <v>238</v>
      </c>
      <c r="I47" s="509" t="s">
        <v>238</v>
      </c>
      <c r="J47" s="509" t="s">
        <v>238</v>
      </c>
      <c r="K47" s="509" t="s">
        <v>238</v>
      </c>
      <c r="L47" s="514">
        <v>25</v>
      </c>
      <c r="M47" s="522"/>
      <c r="N47" s="489"/>
      <c r="O47" s="489"/>
      <c r="P47" s="489"/>
      <c r="Q47" s="489" t="s">
        <v>65</v>
      </c>
      <c r="R47" s="489"/>
      <c r="T47" s="489"/>
      <c r="W47" s="383" t="s">
        <v>435</v>
      </c>
      <c r="X47" s="383">
        <v>0</v>
      </c>
      <c r="Y47" s="238">
        <v>0</v>
      </c>
      <c r="Z47" s="238">
        <v>0</v>
      </c>
      <c r="AA47" s="238">
        <v>0</v>
      </c>
      <c r="AB47" s="383">
        <v>0</v>
      </c>
      <c r="AC47" s="383">
        <v>150</v>
      </c>
      <c r="AD47" s="202">
        <v>0</v>
      </c>
      <c r="AE47" s="221">
        <v>0</v>
      </c>
    </row>
    <row r="48" spans="1:31" hidden="1" outlineLevel="1" x14ac:dyDescent="0.25">
      <c r="A48" s="490"/>
      <c r="B48" s="490"/>
      <c r="C48" s="509" t="s">
        <v>542</v>
      </c>
      <c r="D48" s="509" t="s">
        <v>554</v>
      </c>
      <c r="E48" s="509" t="s">
        <v>562</v>
      </c>
      <c r="F48" s="509" t="s">
        <v>563</v>
      </c>
      <c r="G48" s="515" t="s">
        <v>568</v>
      </c>
      <c r="H48" s="509" t="s">
        <v>238</v>
      </c>
      <c r="I48" s="509" t="s">
        <v>238</v>
      </c>
      <c r="J48" s="509" t="s">
        <v>238</v>
      </c>
      <c r="K48" s="509" t="s">
        <v>238</v>
      </c>
      <c r="L48" s="514">
        <v>26</v>
      </c>
      <c r="M48" s="522"/>
      <c r="N48" s="489"/>
      <c r="O48" s="489"/>
      <c r="P48" s="489"/>
      <c r="Q48" t="s">
        <v>906</v>
      </c>
      <c r="R48" s="489"/>
      <c r="T48" s="489"/>
      <c r="W48" s="235" t="s">
        <v>1156</v>
      </c>
      <c r="X48" s="226"/>
      <c r="Y48" s="238">
        <v>0</v>
      </c>
      <c r="Z48" s="238">
        <v>0</v>
      </c>
      <c r="AA48" s="238">
        <v>0</v>
      </c>
      <c r="AB48" s="383">
        <v>0</v>
      </c>
      <c r="AC48" s="383">
        <v>108</v>
      </c>
      <c r="AD48" s="202">
        <v>0</v>
      </c>
      <c r="AE48" s="221">
        <v>0</v>
      </c>
    </row>
    <row r="49" spans="1:31" hidden="1" outlineLevel="1" x14ac:dyDescent="0.25">
      <c r="A49" s="490"/>
      <c r="B49" s="490"/>
      <c r="C49" s="509" t="s">
        <v>542</v>
      </c>
      <c r="D49" s="509" t="s">
        <v>556</v>
      </c>
      <c r="E49" s="509" t="s">
        <v>562</v>
      </c>
      <c r="F49" s="509" t="s">
        <v>563</v>
      </c>
      <c r="G49" s="515" t="s">
        <v>569</v>
      </c>
      <c r="H49" s="509" t="s">
        <v>238</v>
      </c>
      <c r="I49" s="509" t="s">
        <v>238</v>
      </c>
      <c r="J49" s="509" t="s">
        <v>238</v>
      </c>
      <c r="K49" s="509" t="s">
        <v>238</v>
      </c>
      <c r="L49" s="514">
        <v>27</v>
      </c>
      <c r="M49" s="522"/>
      <c r="N49" s="489"/>
      <c r="O49" s="489"/>
      <c r="P49" s="489"/>
      <c r="Q49" s="489" t="s">
        <v>912</v>
      </c>
      <c r="R49" s="489"/>
      <c r="T49" s="489"/>
      <c r="W49" s="239" t="s">
        <v>443</v>
      </c>
      <c r="X49" s="217"/>
      <c r="Y49" s="240">
        <v>0</v>
      </c>
      <c r="Z49" s="240">
        <v>0</v>
      </c>
      <c r="AA49" s="240">
        <v>0</v>
      </c>
      <c r="AB49" s="239">
        <v>65</v>
      </c>
      <c r="AC49" s="239">
        <v>80</v>
      </c>
      <c r="AD49" s="202">
        <v>0</v>
      </c>
      <c r="AE49" s="221">
        <v>0</v>
      </c>
    </row>
    <row r="50" spans="1:31" hidden="1" outlineLevel="1" x14ac:dyDescent="0.25">
      <c r="A50" s="490"/>
      <c r="B50" s="490"/>
      <c r="C50" s="509" t="s">
        <v>542</v>
      </c>
      <c r="D50" s="509" t="s">
        <v>558</v>
      </c>
      <c r="E50" s="509" t="s">
        <v>562</v>
      </c>
      <c r="F50" s="509" t="s">
        <v>563</v>
      </c>
      <c r="G50" s="515" t="s">
        <v>570</v>
      </c>
      <c r="H50" s="509" t="s">
        <v>238</v>
      </c>
      <c r="I50" s="509" t="s">
        <v>238</v>
      </c>
      <c r="J50" s="509" t="s">
        <v>238</v>
      </c>
      <c r="K50" s="509" t="s">
        <v>238</v>
      </c>
      <c r="L50" s="514">
        <v>28</v>
      </c>
      <c r="M50" s="522"/>
      <c r="N50" s="489"/>
      <c r="O50" s="489"/>
      <c r="P50" s="489"/>
      <c r="Q50" s="489"/>
      <c r="R50" s="489"/>
      <c r="T50" s="489"/>
      <c r="W50" s="235" t="s">
        <v>444</v>
      </c>
      <c r="X50" s="217"/>
      <c r="Y50" s="238">
        <v>0</v>
      </c>
      <c r="Z50" s="238">
        <v>0</v>
      </c>
      <c r="AA50" s="238">
        <v>0</v>
      </c>
      <c r="AB50" s="383">
        <v>65</v>
      </c>
      <c r="AC50" s="383">
        <v>24</v>
      </c>
      <c r="AD50" s="202">
        <v>0</v>
      </c>
      <c r="AE50" s="221">
        <v>0</v>
      </c>
    </row>
    <row r="51" spans="1:31" hidden="1" outlineLevel="1" x14ac:dyDescent="0.25">
      <c r="A51" s="490"/>
      <c r="B51" s="490"/>
      <c r="C51" s="493" t="s">
        <v>546</v>
      </c>
      <c r="D51" s="510" t="s">
        <v>540</v>
      </c>
      <c r="E51" s="510" t="s">
        <v>562</v>
      </c>
      <c r="F51" s="510" t="s">
        <v>563</v>
      </c>
      <c r="G51" s="515" t="s">
        <v>571</v>
      </c>
      <c r="H51" s="493">
        <v>0.73</v>
      </c>
      <c r="I51" s="493">
        <v>67</v>
      </c>
      <c r="J51" s="511">
        <v>1.9</v>
      </c>
      <c r="K51" s="511">
        <v>4.5999999999999996</v>
      </c>
      <c r="L51" s="514">
        <v>50</v>
      </c>
      <c r="M51" s="522"/>
      <c r="N51" s="489"/>
      <c r="O51" s="489"/>
      <c r="P51" s="489"/>
      <c r="Q51" s="489"/>
      <c r="R51" s="489"/>
      <c r="T51" s="489"/>
      <c r="W51" s="241" t="s">
        <v>445</v>
      </c>
      <c r="X51" s="217"/>
      <c r="Y51" s="242">
        <v>0</v>
      </c>
      <c r="Z51" s="242">
        <v>0</v>
      </c>
      <c r="AA51" s="242">
        <v>0</v>
      </c>
      <c r="AB51" s="241">
        <v>78</v>
      </c>
      <c r="AC51" s="241">
        <v>48</v>
      </c>
      <c r="AD51" s="202">
        <v>0</v>
      </c>
      <c r="AE51" s="221">
        <v>0</v>
      </c>
    </row>
    <row r="52" spans="1:31" hidden="1" outlineLevel="1" x14ac:dyDescent="0.25">
      <c r="A52" s="490"/>
      <c r="B52" s="490"/>
      <c r="C52" s="493" t="s">
        <v>546</v>
      </c>
      <c r="D52" s="510" t="s">
        <v>544</v>
      </c>
      <c r="E52" s="510" t="s">
        <v>562</v>
      </c>
      <c r="F52" s="510" t="s">
        <v>563</v>
      </c>
      <c r="G52" s="515" t="s">
        <v>572</v>
      </c>
      <c r="H52" s="493">
        <v>0.77</v>
      </c>
      <c r="I52" s="493">
        <v>80</v>
      </c>
      <c r="J52" s="511">
        <v>2.2999999999999998</v>
      </c>
      <c r="K52" s="511">
        <v>5.7</v>
      </c>
      <c r="L52" s="514">
        <v>51</v>
      </c>
      <c r="M52" s="522"/>
      <c r="N52" s="489"/>
      <c r="O52" s="489"/>
      <c r="P52" s="489"/>
      <c r="Q52" s="489"/>
      <c r="R52" s="489"/>
      <c r="T52" s="489"/>
      <c r="W52" s="236" t="s">
        <v>446</v>
      </c>
      <c r="X52" s="383"/>
      <c r="Y52" s="238">
        <v>0</v>
      </c>
      <c r="Z52" s="238">
        <v>0</v>
      </c>
      <c r="AA52" s="238">
        <v>0</v>
      </c>
      <c r="AB52" s="383">
        <v>26</v>
      </c>
      <c r="AC52" s="383">
        <v>84</v>
      </c>
      <c r="AD52" s="202">
        <v>0</v>
      </c>
      <c r="AE52" s="221">
        <v>0</v>
      </c>
    </row>
    <row r="53" spans="1:31" hidden="1" outlineLevel="1" x14ac:dyDescent="0.25">
      <c r="A53" s="490"/>
      <c r="B53" s="490"/>
      <c r="C53" s="493" t="s">
        <v>546</v>
      </c>
      <c r="D53" s="510" t="s">
        <v>547</v>
      </c>
      <c r="E53" s="510" t="s">
        <v>562</v>
      </c>
      <c r="F53" s="510" t="s">
        <v>563</v>
      </c>
      <c r="G53" s="515" t="s">
        <v>573</v>
      </c>
      <c r="H53" s="508">
        <v>0.8</v>
      </c>
      <c r="I53" s="493">
        <v>93</v>
      </c>
      <c r="J53" s="511">
        <v>2.7</v>
      </c>
      <c r="K53" s="511">
        <v>6.8</v>
      </c>
      <c r="L53" s="514">
        <v>52</v>
      </c>
      <c r="M53" s="522"/>
      <c r="N53" s="489"/>
      <c r="O53" s="489"/>
      <c r="P53" s="489"/>
      <c r="Q53" s="489"/>
      <c r="R53" s="489"/>
      <c r="T53" s="489"/>
      <c r="W53" s="237" t="s">
        <v>447</v>
      </c>
      <c r="X53" s="383"/>
      <c r="Y53" s="238">
        <v>0</v>
      </c>
      <c r="Z53" s="238">
        <v>0</v>
      </c>
      <c r="AA53" s="238">
        <v>0</v>
      </c>
      <c r="AB53" s="383">
        <v>32</v>
      </c>
      <c r="AC53" s="383">
        <v>80</v>
      </c>
      <c r="AD53" s="202">
        <v>0</v>
      </c>
      <c r="AE53" s="221">
        <v>0</v>
      </c>
    </row>
    <row r="54" spans="1:31" hidden="1" outlineLevel="1" x14ac:dyDescent="0.25">
      <c r="A54" s="490"/>
      <c r="B54" s="490"/>
      <c r="C54" s="493" t="s">
        <v>546</v>
      </c>
      <c r="D54" s="510" t="s">
        <v>550</v>
      </c>
      <c r="E54" s="510" t="s">
        <v>562</v>
      </c>
      <c r="F54" s="510" t="s">
        <v>563</v>
      </c>
      <c r="G54" s="515" t="s">
        <v>574</v>
      </c>
      <c r="H54" s="493">
        <v>0.82</v>
      </c>
      <c r="I54" s="493">
        <v>106</v>
      </c>
      <c r="J54" s="511">
        <v>3</v>
      </c>
      <c r="K54" s="511">
        <v>8</v>
      </c>
      <c r="L54" s="514">
        <v>53</v>
      </c>
      <c r="M54" s="522"/>
      <c r="N54" s="489"/>
      <c r="O54" s="489"/>
      <c r="P54" s="376">
        <f>U9</f>
        <v>0</v>
      </c>
      <c r="Q54" s="383" t="e">
        <f>VLOOKUP(W9,$W$44:$AD$93,8)</f>
        <v>#N/A</v>
      </c>
      <c r="R54" s="988">
        <f>IF(P54=0,0,(Q54/100)*(P54/100))</f>
        <v>0</v>
      </c>
      <c r="T54" s="489"/>
      <c r="W54" s="383" t="s">
        <v>1274</v>
      </c>
      <c r="X54" s="217"/>
      <c r="Y54" s="238">
        <v>0</v>
      </c>
      <c r="Z54" s="238">
        <v>0</v>
      </c>
      <c r="AA54" s="238">
        <v>0</v>
      </c>
      <c r="AB54" s="383">
        <v>32</v>
      </c>
      <c r="AC54" s="383">
        <v>90</v>
      </c>
      <c r="AD54" s="202">
        <v>0</v>
      </c>
      <c r="AE54" s="221">
        <v>0</v>
      </c>
    </row>
    <row r="55" spans="1:31" hidden="1" outlineLevel="1" x14ac:dyDescent="0.25">
      <c r="A55" s="490"/>
      <c r="B55" s="490"/>
      <c r="C55" s="509" t="s">
        <v>546</v>
      </c>
      <c r="D55" s="509" t="s">
        <v>554</v>
      </c>
      <c r="E55" s="509" t="s">
        <v>562</v>
      </c>
      <c r="F55" s="509" t="s">
        <v>563</v>
      </c>
      <c r="G55" s="515" t="s">
        <v>575</v>
      </c>
      <c r="H55" s="509" t="s">
        <v>238</v>
      </c>
      <c r="I55" s="509" t="s">
        <v>238</v>
      </c>
      <c r="J55" s="509" t="s">
        <v>238</v>
      </c>
      <c r="K55" s="509" t="s">
        <v>238</v>
      </c>
      <c r="L55" s="514">
        <v>54</v>
      </c>
      <c r="M55" s="522"/>
      <c r="N55" s="489"/>
      <c r="O55" s="489"/>
      <c r="P55" s="376">
        <f>U11</f>
        <v>0</v>
      </c>
      <c r="Q55" s="383" t="e">
        <f>VLOOKUP(W11,$W$44:$AD$93,8)</f>
        <v>#N/A</v>
      </c>
      <c r="R55" s="988">
        <f t="shared" ref="R55:R59" si="0">IF(P55=0,0,(Q55/100)*(P55/100))</f>
        <v>0</v>
      </c>
      <c r="T55" s="489"/>
      <c r="W55" s="237" t="s">
        <v>448</v>
      </c>
      <c r="X55" s="383"/>
      <c r="Y55" s="238">
        <v>0</v>
      </c>
      <c r="Z55" s="238">
        <v>0</v>
      </c>
      <c r="AA55" s="238">
        <v>0</v>
      </c>
      <c r="AB55" s="383">
        <v>32</v>
      </c>
      <c r="AC55" s="383">
        <v>100</v>
      </c>
      <c r="AD55" s="202">
        <v>0</v>
      </c>
      <c r="AE55" s="221">
        <v>0</v>
      </c>
    </row>
    <row r="56" spans="1:31" hidden="1" outlineLevel="1" x14ac:dyDescent="0.25">
      <c r="A56" s="490"/>
      <c r="B56" s="490"/>
      <c r="C56" s="509" t="s">
        <v>546</v>
      </c>
      <c r="D56" s="509" t="s">
        <v>556</v>
      </c>
      <c r="E56" s="509" t="s">
        <v>562</v>
      </c>
      <c r="F56" s="509" t="s">
        <v>563</v>
      </c>
      <c r="G56" s="515" t="s">
        <v>576</v>
      </c>
      <c r="H56" s="509" t="s">
        <v>238</v>
      </c>
      <c r="I56" s="509" t="s">
        <v>238</v>
      </c>
      <c r="J56" s="509" t="s">
        <v>238</v>
      </c>
      <c r="K56" s="509" t="s">
        <v>238</v>
      </c>
      <c r="L56" s="514">
        <v>55</v>
      </c>
      <c r="M56" s="522"/>
      <c r="N56" s="489"/>
      <c r="O56" s="489"/>
      <c r="P56" s="376">
        <f>U13</f>
        <v>0</v>
      </c>
      <c r="Q56" s="383" t="e">
        <f>VLOOKUP(W13,$W$44:$AD$93,8)</f>
        <v>#N/A</v>
      </c>
      <c r="R56" s="988">
        <f t="shared" si="0"/>
        <v>0</v>
      </c>
      <c r="T56" s="489"/>
      <c r="W56" s="235" t="s">
        <v>449</v>
      </c>
      <c r="X56" s="383"/>
      <c r="Y56" s="238">
        <v>0</v>
      </c>
      <c r="Z56" s="238">
        <v>0</v>
      </c>
      <c r="AA56" s="238">
        <v>0</v>
      </c>
      <c r="AB56" s="383">
        <v>39</v>
      </c>
      <c r="AC56" s="383">
        <v>24</v>
      </c>
      <c r="AD56" s="202">
        <v>0</v>
      </c>
      <c r="AE56" s="221">
        <v>0</v>
      </c>
    </row>
    <row r="57" spans="1:31" hidden="1" outlineLevel="1" x14ac:dyDescent="0.25">
      <c r="A57" s="490"/>
      <c r="B57" s="490"/>
      <c r="C57" s="509" t="s">
        <v>546</v>
      </c>
      <c r="D57" s="509" t="s">
        <v>558</v>
      </c>
      <c r="E57" s="509" t="s">
        <v>562</v>
      </c>
      <c r="F57" s="509" t="s">
        <v>563</v>
      </c>
      <c r="G57" s="515" t="s">
        <v>577</v>
      </c>
      <c r="H57" s="509" t="s">
        <v>238</v>
      </c>
      <c r="I57" s="509" t="s">
        <v>238</v>
      </c>
      <c r="J57" s="509" t="s">
        <v>238</v>
      </c>
      <c r="K57" s="509" t="s">
        <v>238</v>
      </c>
      <c r="L57" s="514">
        <v>56</v>
      </c>
      <c r="M57" s="522"/>
      <c r="N57" s="489"/>
      <c r="O57" s="489"/>
      <c r="P57" s="376">
        <f>U15</f>
        <v>0</v>
      </c>
      <c r="Q57" s="383" t="e">
        <f>VLOOKUP(W15,$W$44:$AD$93,8)</f>
        <v>#N/A</v>
      </c>
      <c r="R57" s="988">
        <f t="shared" si="0"/>
        <v>0</v>
      </c>
      <c r="T57" s="489"/>
      <c r="W57" s="383" t="s">
        <v>450</v>
      </c>
      <c r="X57" s="383"/>
      <c r="Y57" s="238">
        <v>0</v>
      </c>
      <c r="Z57" s="238">
        <v>0</v>
      </c>
      <c r="AA57" s="238">
        <v>0</v>
      </c>
      <c r="AB57" s="383">
        <v>15</v>
      </c>
      <c r="AC57" s="383">
        <v>84</v>
      </c>
      <c r="AD57" s="202">
        <v>0</v>
      </c>
      <c r="AE57" s="221">
        <v>0</v>
      </c>
    </row>
    <row r="58" spans="1:31" hidden="1" outlineLevel="1" x14ac:dyDescent="0.25">
      <c r="A58" s="490"/>
      <c r="B58" s="490"/>
      <c r="C58" s="493" t="s">
        <v>549</v>
      </c>
      <c r="D58" s="510" t="s">
        <v>540</v>
      </c>
      <c r="E58" s="510" t="s">
        <v>562</v>
      </c>
      <c r="F58" s="510" t="s">
        <v>563</v>
      </c>
      <c r="G58" s="515" t="s">
        <v>578</v>
      </c>
      <c r="H58" s="493">
        <v>0.82</v>
      </c>
      <c r="I58" s="493">
        <v>69</v>
      </c>
      <c r="J58" s="493">
        <v>2.2000000000000002</v>
      </c>
      <c r="K58" s="493">
        <v>5.2</v>
      </c>
      <c r="L58" s="514">
        <v>78</v>
      </c>
      <c r="M58" s="522"/>
      <c r="N58" s="489"/>
      <c r="O58" s="489"/>
      <c r="P58" s="376">
        <f>U17</f>
        <v>0</v>
      </c>
      <c r="Q58" s="383" t="e">
        <f>VLOOKUP(W17,$W$44:$AD$93,8)</f>
        <v>#N/A</v>
      </c>
      <c r="R58" s="988">
        <f t="shared" si="0"/>
        <v>0</v>
      </c>
      <c r="T58" s="489"/>
      <c r="W58" s="383" t="s">
        <v>451</v>
      </c>
      <c r="X58" s="383"/>
      <c r="Y58" s="238">
        <v>0</v>
      </c>
      <c r="Z58" s="238">
        <v>0</v>
      </c>
      <c r="AA58" s="238">
        <v>0</v>
      </c>
      <c r="AB58" s="383">
        <v>52</v>
      </c>
      <c r="AC58" s="383">
        <v>48</v>
      </c>
      <c r="AD58" s="202">
        <v>0</v>
      </c>
      <c r="AE58" s="221">
        <v>0</v>
      </c>
    </row>
    <row r="59" spans="1:31" hidden="1" outlineLevel="1" x14ac:dyDescent="0.25">
      <c r="A59" s="490"/>
      <c r="B59" s="490"/>
      <c r="C59" s="493" t="s">
        <v>549</v>
      </c>
      <c r="D59" s="510" t="s">
        <v>544</v>
      </c>
      <c r="E59" s="510" t="s">
        <v>562</v>
      </c>
      <c r="F59" s="510" t="s">
        <v>563</v>
      </c>
      <c r="G59" s="515" t="s">
        <v>579</v>
      </c>
      <c r="H59" s="493">
        <v>0.85</v>
      </c>
      <c r="I59" s="493">
        <v>82</v>
      </c>
      <c r="J59" s="493">
        <v>2.6</v>
      </c>
      <c r="K59" s="493">
        <v>6.4</v>
      </c>
      <c r="L59" s="514">
        <v>79</v>
      </c>
      <c r="M59" s="522"/>
      <c r="N59" s="489"/>
      <c r="O59" s="489"/>
      <c r="P59" s="376">
        <f>U19</f>
        <v>0</v>
      </c>
      <c r="Q59" s="383" t="e">
        <f>VLOOKUP(W19,$W$44:$AD$93,8)</f>
        <v>#N/A</v>
      </c>
      <c r="R59" s="988">
        <f t="shared" si="0"/>
        <v>0</v>
      </c>
      <c r="T59" s="489"/>
      <c r="W59" s="235" t="s">
        <v>452</v>
      </c>
      <c r="X59" s="383"/>
      <c r="Y59" s="238">
        <v>0</v>
      </c>
      <c r="Z59" s="238">
        <v>0</v>
      </c>
      <c r="AA59" s="238">
        <v>0</v>
      </c>
      <c r="AB59" s="383">
        <v>52</v>
      </c>
      <c r="AC59" s="383">
        <v>64</v>
      </c>
      <c r="AD59" s="202">
        <v>0</v>
      </c>
      <c r="AE59" s="221">
        <v>0</v>
      </c>
    </row>
    <row r="60" spans="1:31" hidden="1" outlineLevel="1" x14ac:dyDescent="0.25">
      <c r="A60" s="490"/>
      <c r="B60" s="490"/>
      <c r="C60" s="493" t="s">
        <v>549</v>
      </c>
      <c r="D60" s="510" t="s">
        <v>547</v>
      </c>
      <c r="E60" s="510" t="s">
        <v>562</v>
      </c>
      <c r="F60" s="510" t="s">
        <v>563</v>
      </c>
      <c r="G60" s="515" t="s">
        <v>580</v>
      </c>
      <c r="H60" s="508">
        <v>0.89</v>
      </c>
      <c r="I60" s="493">
        <v>94</v>
      </c>
      <c r="J60" s="511">
        <v>3</v>
      </c>
      <c r="K60" s="493">
        <v>7.6</v>
      </c>
      <c r="L60" s="514">
        <v>80</v>
      </c>
      <c r="M60" s="522"/>
      <c r="N60" s="489"/>
      <c r="O60" s="489"/>
      <c r="P60" s="489"/>
      <c r="Q60" s="987"/>
      <c r="R60" s="987"/>
      <c r="S60" s="987"/>
      <c r="T60" s="489"/>
      <c r="W60" s="235" t="s">
        <v>453</v>
      </c>
      <c r="X60" s="383"/>
      <c r="Y60" s="238">
        <v>0</v>
      </c>
      <c r="Z60" s="238">
        <v>0</v>
      </c>
      <c r="AA60" s="238">
        <v>0</v>
      </c>
      <c r="AB60" s="383">
        <v>52</v>
      </c>
      <c r="AC60" s="383">
        <v>96</v>
      </c>
      <c r="AD60" s="202">
        <v>0</v>
      </c>
      <c r="AE60" s="221">
        <v>0</v>
      </c>
    </row>
    <row r="61" spans="1:31" hidden="1" outlineLevel="1" x14ac:dyDescent="0.25">
      <c r="A61" s="490"/>
      <c r="B61" s="490"/>
      <c r="C61" s="493" t="s">
        <v>549</v>
      </c>
      <c r="D61" s="510" t="s">
        <v>550</v>
      </c>
      <c r="E61" s="510" t="s">
        <v>562</v>
      </c>
      <c r="F61" s="510" t="s">
        <v>563</v>
      </c>
      <c r="G61" s="515" t="s">
        <v>581</v>
      </c>
      <c r="H61" s="493">
        <v>0.92</v>
      </c>
      <c r="I61" s="493">
        <v>107</v>
      </c>
      <c r="J61" s="493">
        <v>3.3</v>
      </c>
      <c r="K61" s="493">
        <v>8.9</v>
      </c>
      <c r="L61" s="514">
        <v>81</v>
      </c>
      <c r="M61" s="522"/>
      <c r="N61" s="489"/>
      <c r="O61" s="489"/>
      <c r="P61" s="489"/>
      <c r="Q61" s="987"/>
      <c r="R61" s="987"/>
      <c r="T61" s="489"/>
      <c r="W61" s="383" t="s">
        <v>454</v>
      </c>
      <c r="X61" s="383"/>
      <c r="Y61" s="238">
        <v>0</v>
      </c>
      <c r="Z61" s="238">
        <v>0</v>
      </c>
      <c r="AA61" s="238">
        <v>0</v>
      </c>
      <c r="AB61" s="383">
        <v>58</v>
      </c>
      <c r="AC61" s="383">
        <v>56</v>
      </c>
      <c r="AD61" s="202">
        <v>0</v>
      </c>
      <c r="AE61" s="221">
        <v>0</v>
      </c>
    </row>
    <row r="62" spans="1:31" hidden="1" outlineLevel="1" x14ac:dyDescent="0.25">
      <c r="A62" s="489"/>
      <c r="B62" s="489"/>
      <c r="C62" s="493" t="s">
        <v>549</v>
      </c>
      <c r="D62" s="510" t="s">
        <v>554</v>
      </c>
      <c r="E62" s="510" t="s">
        <v>562</v>
      </c>
      <c r="F62" s="510" t="s">
        <v>563</v>
      </c>
      <c r="G62" s="515" t="s">
        <v>582</v>
      </c>
      <c r="H62" s="493">
        <v>0.95</v>
      </c>
      <c r="I62" s="493">
        <v>119</v>
      </c>
      <c r="J62" s="493">
        <v>3.7</v>
      </c>
      <c r="K62" s="493">
        <v>10.3</v>
      </c>
      <c r="L62" s="514">
        <v>82</v>
      </c>
      <c r="M62" s="522"/>
      <c r="N62" s="489"/>
      <c r="O62" s="489"/>
      <c r="P62" s="489"/>
      <c r="Q62" s="997">
        <f>SUM(R54:R59)*100</f>
        <v>0</v>
      </c>
      <c r="R62" s="1388" t="s">
        <v>1238</v>
      </c>
      <c r="S62" s="1388"/>
      <c r="T62" s="489"/>
      <c r="W62" s="383" t="s">
        <v>903</v>
      </c>
      <c r="X62" s="383">
        <v>18</v>
      </c>
      <c r="Y62" s="196">
        <v>0.67</v>
      </c>
      <c r="Z62" s="383">
        <v>178</v>
      </c>
      <c r="AA62" s="383">
        <v>157</v>
      </c>
      <c r="AB62" s="197">
        <v>4.5</v>
      </c>
      <c r="AC62" s="197">
        <v>1.2</v>
      </c>
      <c r="AD62" s="202">
        <v>31.6</v>
      </c>
      <c r="AE62" s="221">
        <v>6.1</v>
      </c>
    </row>
    <row r="63" spans="1:31" hidden="1" outlineLevel="1" x14ac:dyDescent="0.25">
      <c r="A63" s="489"/>
      <c r="B63" s="489"/>
      <c r="C63" s="509" t="s">
        <v>549</v>
      </c>
      <c r="D63" s="509" t="s">
        <v>556</v>
      </c>
      <c r="E63" s="509" t="s">
        <v>562</v>
      </c>
      <c r="F63" s="509" t="s">
        <v>563</v>
      </c>
      <c r="G63" s="515" t="s">
        <v>583</v>
      </c>
      <c r="H63" s="509" t="s">
        <v>238</v>
      </c>
      <c r="I63" s="509" t="s">
        <v>238</v>
      </c>
      <c r="J63" s="509" t="s">
        <v>238</v>
      </c>
      <c r="K63" s="509" t="s">
        <v>238</v>
      </c>
      <c r="L63" s="514">
        <v>83</v>
      </c>
      <c r="M63" s="522"/>
      <c r="N63" s="489"/>
      <c r="O63" s="489"/>
      <c r="P63" s="489"/>
      <c r="Q63" s="846"/>
      <c r="R63" s="1388"/>
      <c r="S63" s="1388"/>
      <c r="T63" s="489"/>
      <c r="W63" s="383" t="s">
        <v>60</v>
      </c>
      <c r="X63" s="383">
        <v>11</v>
      </c>
      <c r="Y63" s="196">
        <v>1.03</v>
      </c>
      <c r="Z63" s="383">
        <v>170</v>
      </c>
      <c r="AA63" s="383">
        <v>97</v>
      </c>
      <c r="AB63" s="197">
        <v>3.5</v>
      </c>
      <c r="AC63" s="197">
        <v>0.8</v>
      </c>
      <c r="AD63" s="202">
        <v>31.1</v>
      </c>
      <c r="AE63" s="221">
        <v>9.6</v>
      </c>
    </row>
    <row r="64" spans="1:31" hidden="1" outlineLevel="1" x14ac:dyDescent="0.25">
      <c r="A64" s="489"/>
      <c r="B64" s="489"/>
      <c r="C64" s="509" t="s">
        <v>549</v>
      </c>
      <c r="D64" s="509" t="s">
        <v>558</v>
      </c>
      <c r="E64" s="509" t="s">
        <v>562</v>
      </c>
      <c r="F64" s="509" t="s">
        <v>563</v>
      </c>
      <c r="G64" s="515" t="s">
        <v>584</v>
      </c>
      <c r="H64" s="509" t="s">
        <v>238</v>
      </c>
      <c r="I64" s="509" t="s">
        <v>238</v>
      </c>
      <c r="J64" s="509" t="s">
        <v>238</v>
      </c>
      <c r="K64" s="509" t="s">
        <v>238</v>
      </c>
      <c r="L64" s="514">
        <v>84</v>
      </c>
      <c r="M64" s="522"/>
      <c r="N64" s="489"/>
      <c r="O64" s="489"/>
      <c r="P64" s="489"/>
      <c r="Q64" s="489"/>
      <c r="R64" s="489"/>
      <c r="T64" s="489"/>
      <c r="W64" s="383" t="s">
        <v>907</v>
      </c>
      <c r="X64" s="383">
        <v>3</v>
      </c>
      <c r="Y64" s="196">
        <v>1.68</v>
      </c>
      <c r="Z64" s="383">
        <v>12</v>
      </c>
      <c r="AA64" s="383">
        <v>61</v>
      </c>
      <c r="AB64" s="197">
        <v>4.9000000000000004</v>
      </c>
      <c r="AC64" s="197">
        <v>2.6</v>
      </c>
      <c r="AD64" s="202">
        <v>20.7</v>
      </c>
      <c r="AE64" s="221">
        <v>8.9</v>
      </c>
    </row>
    <row r="65" spans="1:31" hidden="1" outlineLevel="1" x14ac:dyDescent="0.25">
      <c r="A65" s="489"/>
      <c r="B65" s="489"/>
      <c r="C65" s="493" t="s">
        <v>552</v>
      </c>
      <c r="D65" s="510" t="s">
        <v>540</v>
      </c>
      <c r="E65" s="510" t="s">
        <v>562</v>
      </c>
      <c r="F65" s="510" t="s">
        <v>563</v>
      </c>
      <c r="G65" s="515" t="s">
        <v>585</v>
      </c>
      <c r="H65" s="510">
        <v>0.91</v>
      </c>
      <c r="I65" s="510">
        <v>72</v>
      </c>
      <c r="J65" s="493">
        <v>2.4</v>
      </c>
      <c r="K65" s="493">
        <v>5.8</v>
      </c>
      <c r="L65" s="514">
        <v>106</v>
      </c>
      <c r="M65" s="522"/>
      <c r="N65" s="489"/>
      <c r="O65" s="489"/>
      <c r="P65" s="489"/>
      <c r="Q65" s="489"/>
      <c r="R65" s="489"/>
      <c r="T65" s="489"/>
      <c r="W65" s="383" t="s">
        <v>910</v>
      </c>
      <c r="X65" s="383">
        <v>10</v>
      </c>
      <c r="Y65" s="196">
        <v>0.85</v>
      </c>
      <c r="Z65" s="383">
        <v>131</v>
      </c>
      <c r="AA65" s="383">
        <v>77</v>
      </c>
      <c r="AB65" s="197">
        <v>4.5999999999999996</v>
      </c>
      <c r="AC65" s="197">
        <v>0.9</v>
      </c>
      <c r="AD65" s="202">
        <v>23.4</v>
      </c>
      <c r="AE65" s="221">
        <v>25.9</v>
      </c>
    </row>
    <row r="66" spans="1:31" hidden="1" outlineLevel="1" x14ac:dyDescent="0.25">
      <c r="A66" s="489"/>
      <c r="B66" s="489"/>
      <c r="C66" s="493" t="s">
        <v>552</v>
      </c>
      <c r="D66" s="510" t="s">
        <v>544</v>
      </c>
      <c r="E66" s="510" t="s">
        <v>562</v>
      </c>
      <c r="F66" s="510" t="s">
        <v>563</v>
      </c>
      <c r="G66" s="515" t="s">
        <v>586</v>
      </c>
      <c r="H66" s="510">
        <v>0.96</v>
      </c>
      <c r="I66" s="510">
        <v>84</v>
      </c>
      <c r="J66" s="493">
        <v>2.8</v>
      </c>
      <c r="K66" s="493">
        <v>7.1</v>
      </c>
      <c r="L66" s="514">
        <v>107</v>
      </c>
      <c r="M66" s="522"/>
      <c r="N66" s="489"/>
      <c r="O66" s="489"/>
      <c r="P66" s="376">
        <f>U9</f>
        <v>0</v>
      </c>
      <c r="Q66" s="383" t="e">
        <f>VLOOKUP(W9,$W$44:$AE$93,9)</f>
        <v>#N/A</v>
      </c>
      <c r="R66" s="1385">
        <f>IF(P66=0,0,(Q66/100)*(P66/100))</f>
        <v>0</v>
      </c>
      <c r="S66" s="1387"/>
      <c r="T66" s="1387"/>
      <c r="W66" s="383" t="s">
        <v>240</v>
      </c>
      <c r="X66" s="383">
        <v>0</v>
      </c>
      <c r="Y66" s="196">
        <v>2.78</v>
      </c>
      <c r="Z66" s="383">
        <v>0</v>
      </c>
      <c r="AA66" s="383">
        <v>0</v>
      </c>
      <c r="AB66" s="197">
        <v>0</v>
      </c>
      <c r="AC66" s="197">
        <v>0</v>
      </c>
      <c r="AD66" s="202">
        <v>0</v>
      </c>
      <c r="AE66" s="221">
        <v>0</v>
      </c>
    </row>
    <row r="67" spans="1:31" hidden="1" outlineLevel="1" x14ac:dyDescent="0.25">
      <c r="A67" s="489"/>
      <c r="B67" s="489"/>
      <c r="C67" s="493" t="s">
        <v>552</v>
      </c>
      <c r="D67" s="510" t="s">
        <v>547</v>
      </c>
      <c r="E67" s="510" t="s">
        <v>562</v>
      </c>
      <c r="F67" s="510" t="s">
        <v>563</v>
      </c>
      <c r="G67" s="515" t="s">
        <v>587</v>
      </c>
      <c r="H67" s="510">
        <v>1.01</v>
      </c>
      <c r="I67" s="510">
        <v>95</v>
      </c>
      <c r="J67" s="493">
        <v>3.2</v>
      </c>
      <c r="K67" s="493">
        <v>8.5</v>
      </c>
      <c r="L67" s="514">
        <v>108</v>
      </c>
      <c r="M67" s="522"/>
      <c r="N67" s="489"/>
      <c r="O67" s="489"/>
      <c r="P67" s="376">
        <f>U11</f>
        <v>0</v>
      </c>
      <c r="Q67" s="383" t="e">
        <f>VLOOKUP(W11,$W$44:$AE$93,9)</f>
        <v>#N/A</v>
      </c>
      <c r="R67" s="1385">
        <f t="shared" ref="R67:R71" si="1">IF(P67=0,0,(Q67/100)*(P67/100))</f>
        <v>0</v>
      </c>
      <c r="S67" s="1386"/>
      <c r="T67" s="1386"/>
      <c r="W67" s="383" t="s">
        <v>56</v>
      </c>
      <c r="X67" s="383">
        <v>4</v>
      </c>
      <c r="Y67" s="196">
        <v>1.18</v>
      </c>
      <c r="Z67" s="383">
        <v>213</v>
      </c>
      <c r="AA67" s="383">
        <v>106</v>
      </c>
      <c r="AB67" s="197">
        <v>2.8</v>
      </c>
      <c r="AC67" s="197">
        <v>1.9</v>
      </c>
      <c r="AD67" s="202">
        <v>38.5</v>
      </c>
      <c r="AE67" s="221">
        <v>12.8</v>
      </c>
    </row>
    <row r="68" spans="1:31" hidden="1" outlineLevel="1" x14ac:dyDescent="0.25">
      <c r="A68" s="489"/>
      <c r="B68" s="489"/>
      <c r="C68" s="493" t="s">
        <v>552</v>
      </c>
      <c r="D68" s="510" t="s">
        <v>550</v>
      </c>
      <c r="E68" s="510" t="s">
        <v>562</v>
      </c>
      <c r="F68" s="510" t="s">
        <v>563</v>
      </c>
      <c r="G68" s="515" t="s">
        <v>588</v>
      </c>
      <c r="H68" s="510">
        <v>1.04</v>
      </c>
      <c r="I68" s="510">
        <v>107</v>
      </c>
      <c r="J68" s="493">
        <v>3.6</v>
      </c>
      <c r="K68" s="493">
        <v>9.6999999999999993</v>
      </c>
      <c r="L68" s="514">
        <v>109</v>
      </c>
      <c r="M68" s="522"/>
      <c r="N68" s="489"/>
      <c r="O68" s="489"/>
      <c r="P68" s="376">
        <f>U13</f>
        <v>0</v>
      </c>
      <c r="Q68" s="383" t="e">
        <f>VLOOKUP(W13,$W$44:$AE$93,9)</f>
        <v>#N/A</v>
      </c>
      <c r="R68" s="1385">
        <f t="shared" si="1"/>
        <v>0</v>
      </c>
      <c r="S68" s="1386"/>
      <c r="T68" s="1386"/>
      <c r="W68" s="383" t="s">
        <v>119</v>
      </c>
      <c r="X68" s="383">
        <v>5</v>
      </c>
      <c r="Y68" s="196">
        <v>0.54</v>
      </c>
      <c r="Z68" s="383">
        <v>103</v>
      </c>
      <c r="AA68" s="383">
        <v>91</v>
      </c>
      <c r="AB68" s="197">
        <v>1.7</v>
      </c>
      <c r="AC68" s="197">
        <v>5.9</v>
      </c>
      <c r="AD68" s="202">
        <v>17.5</v>
      </c>
      <c r="AE68" s="221">
        <v>29.5</v>
      </c>
    </row>
    <row r="69" spans="1:31" hidden="1" outlineLevel="1" x14ac:dyDescent="0.25">
      <c r="A69" s="489"/>
      <c r="B69" s="489"/>
      <c r="C69" s="493" t="s">
        <v>552</v>
      </c>
      <c r="D69" s="510" t="s">
        <v>554</v>
      </c>
      <c r="E69" s="510" t="s">
        <v>562</v>
      </c>
      <c r="F69" s="510" t="s">
        <v>563</v>
      </c>
      <c r="G69" s="515" t="s">
        <v>589</v>
      </c>
      <c r="H69" s="510">
        <v>1.07</v>
      </c>
      <c r="I69" s="510">
        <v>119</v>
      </c>
      <c r="J69" s="511">
        <v>4</v>
      </c>
      <c r="K69" s="493">
        <v>11.1</v>
      </c>
      <c r="L69" s="514">
        <v>110</v>
      </c>
      <c r="M69" s="522"/>
      <c r="N69" s="489"/>
      <c r="O69" s="489"/>
      <c r="P69" s="376">
        <f>U15</f>
        <v>0</v>
      </c>
      <c r="Q69" s="383" t="e">
        <f>VLOOKUP(W15,$W$44:$AE$93,9)</f>
        <v>#N/A</v>
      </c>
      <c r="R69" s="1385">
        <f t="shared" si="1"/>
        <v>0</v>
      </c>
      <c r="S69" s="1386"/>
      <c r="T69" s="1386"/>
      <c r="W69" s="383" t="s">
        <v>68</v>
      </c>
      <c r="X69" s="383">
        <v>2</v>
      </c>
      <c r="Y69" s="196">
        <v>1.06</v>
      </c>
      <c r="Z69" s="383">
        <v>64</v>
      </c>
      <c r="AA69" s="383">
        <v>84</v>
      </c>
      <c r="AB69" s="197">
        <v>1.9</v>
      </c>
      <c r="AC69" s="197">
        <v>0.3</v>
      </c>
      <c r="AD69" s="202">
        <v>9.4</v>
      </c>
      <c r="AE69" s="221">
        <v>2.5</v>
      </c>
    </row>
    <row r="70" spans="1:31" hidden="1" outlineLevel="1" x14ac:dyDescent="0.25">
      <c r="A70" s="489"/>
      <c r="B70" s="489"/>
      <c r="C70" s="509" t="s">
        <v>552</v>
      </c>
      <c r="D70" s="509" t="s">
        <v>556</v>
      </c>
      <c r="E70" s="509" t="s">
        <v>562</v>
      </c>
      <c r="F70" s="509" t="s">
        <v>563</v>
      </c>
      <c r="G70" s="515" t="s">
        <v>590</v>
      </c>
      <c r="H70" s="509" t="s">
        <v>238</v>
      </c>
      <c r="I70" s="509" t="s">
        <v>238</v>
      </c>
      <c r="J70" s="509" t="s">
        <v>238</v>
      </c>
      <c r="K70" s="509" t="s">
        <v>238</v>
      </c>
      <c r="L70" s="514">
        <v>111</v>
      </c>
      <c r="M70" s="522"/>
      <c r="N70" s="489"/>
      <c r="O70" s="489"/>
      <c r="P70" s="376">
        <f>U17</f>
        <v>0</v>
      </c>
      <c r="Q70" s="383" t="e">
        <f>VLOOKUP(W17,$W$44:$AE$93,9)</f>
        <v>#N/A</v>
      </c>
      <c r="R70" s="1385">
        <f t="shared" si="1"/>
        <v>0</v>
      </c>
      <c r="S70" s="1386"/>
      <c r="T70" s="1386"/>
      <c r="W70" s="383" t="s">
        <v>146</v>
      </c>
      <c r="X70" s="383">
        <v>13</v>
      </c>
      <c r="Y70" s="196">
        <v>0.75</v>
      </c>
      <c r="Z70" s="383">
        <v>63</v>
      </c>
      <c r="AA70" s="383">
        <v>54</v>
      </c>
      <c r="AB70" s="197">
        <v>0.2</v>
      </c>
      <c r="AC70" s="197">
        <v>0.4</v>
      </c>
      <c r="AD70" s="202">
        <v>14.5</v>
      </c>
      <c r="AE70" s="221">
        <v>0</v>
      </c>
    </row>
    <row r="71" spans="1:31" hidden="1" outlineLevel="1" x14ac:dyDescent="0.25">
      <c r="A71" s="489"/>
      <c r="B71" s="489"/>
      <c r="C71" s="509" t="s">
        <v>552</v>
      </c>
      <c r="D71" s="509" t="s">
        <v>558</v>
      </c>
      <c r="E71" s="509" t="s">
        <v>562</v>
      </c>
      <c r="F71" s="509" t="s">
        <v>563</v>
      </c>
      <c r="G71" s="515" t="s">
        <v>591</v>
      </c>
      <c r="H71" s="509" t="s">
        <v>238</v>
      </c>
      <c r="I71" s="509" t="s">
        <v>238</v>
      </c>
      <c r="J71" s="509" t="s">
        <v>238</v>
      </c>
      <c r="K71" s="509" t="s">
        <v>238</v>
      </c>
      <c r="L71" s="514">
        <v>112</v>
      </c>
      <c r="M71" s="522"/>
      <c r="N71" s="489"/>
      <c r="O71" s="489"/>
      <c r="P71" s="376">
        <f>U19</f>
        <v>0</v>
      </c>
      <c r="Q71" s="383" t="e">
        <f>VLOOKUP(W19,$W$44:$AE$93,9)</f>
        <v>#N/A</v>
      </c>
      <c r="R71" s="1385">
        <f t="shared" si="1"/>
        <v>0</v>
      </c>
      <c r="S71" s="1386"/>
      <c r="T71" s="1386"/>
      <c r="W71" s="383" t="s">
        <v>54</v>
      </c>
      <c r="X71" s="383">
        <v>9</v>
      </c>
      <c r="Y71" s="196">
        <v>0.93</v>
      </c>
      <c r="Z71" s="383">
        <v>69</v>
      </c>
      <c r="AA71" s="383">
        <v>87</v>
      </c>
      <c r="AB71" s="197">
        <v>2.6</v>
      </c>
      <c r="AC71" s="197">
        <v>0.4</v>
      </c>
      <c r="AD71" s="202">
        <v>11.6</v>
      </c>
      <c r="AE71" s="221">
        <v>5.2</v>
      </c>
    </row>
    <row r="72" spans="1:31" hidden="1" outlineLevel="1" x14ac:dyDescent="0.25">
      <c r="A72" s="489"/>
      <c r="B72" s="489"/>
      <c r="C72" s="493" t="s">
        <v>555</v>
      </c>
      <c r="D72" s="510" t="s">
        <v>540</v>
      </c>
      <c r="E72" s="510" t="s">
        <v>562</v>
      </c>
      <c r="F72" s="510" t="s">
        <v>563</v>
      </c>
      <c r="G72" s="515" t="s">
        <v>592</v>
      </c>
      <c r="H72" s="493">
        <v>1.01</v>
      </c>
      <c r="I72" s="493">
        <v>73</v>
      </c>
      <c r="J72" s="493">
        <v>2.8</v>
      </c>
      <c r="K72" s="493">
        <v>6.5</v>
      </c>
      <c r="L72" s="514">
        <v>134</v>
      </c>
      <c r="M72" s="522"/>
      <c r="N72" s="489"/>
      <c r="O72" s="489"/>
      <c r="P72" s="489"/>
      <c r="Q72" s="489"/>
      <c r="R72" s="489"/>
      <c r="T72" s="489"/>
      <c r="W72" s="383" t="s">
        <v>53</v>
      </c>
      <c r="X72" s="383">
        <v>7</v>
      </c>
      <c r="Y72" s="196">
        <v>1.05</v>
      </c>
      <c r="Z72" s="383">
        <v>130</v>
      </c>
      <c r="AA72" s="383">
        <v>83</v>
      </c>
      <c r="AB72" s="197">
        <v>2.9</v>
      </c>
      <c r="AC72" s="197">
        <v>0.6</v>
      </c>
      <c r="AD72" s="202">
        <v>23.9</v>
      </c>
      <c r="AE72" s="221">
        <v>6</v>
      </c>
    </row>
    <row r="73" spans="1:31" hidden="1" outlineLevel="1" x14ac:dyDescent="0.25">
      <c r="A73" s="489"/>
      <c r="B73" s="489"/>
      <c r="C73" s="493" t="s">
        <v>555</v>
      </c>
      <c r="D73" s="510" t="s">
        <v>544</v>
      </c>
      <c r="E73" s="510" t="s">
        <v>562</v>
      </c>
      <c r="F73" s="510" t="s">
        <v>563</v>
      </c>
      <c r="G73" s="515" t="s">
        <v>593</v>
      </c>
      <c r="H73" s="493">
        <v>1.07</v>
      </c>
      <c r="I73" s="493">
        <v>84</v>
      </c>
      <c r="J73" s="493">
        <v>3.2</v>
      </c>
      <c r="K73" s="511">
        <v>8</v>
      </c>
      <c r="L73" s="514">
        <v>135</v>
      </c>
      <c r="M73" s="522"/>
      <c r="N73" s="489"/>
      <c r="O73" s="489"/>
      <c r="P73" s="489"/>
      <c r="Q73" s="489"/>
      <c r="R73" s="489"/>
      <c r="T73" s="489"/>
      <c r="W73" s="383" t="s">
        <v>242</v>
      </c>
      <c r="X73" s="383">
        <v>3</v>
      </c>
      <c r="Y73" s="196">
        <v>1.17</v>
      </c>
      <c r="Z73" s="383">
        <v>196</v>
      </c>
      <c r="AA73" s="383">
        <v>75</v>
      </c>
      <c r="AB73" s="197">
        <v>9.1999999999999993</v>
      </c>
      <c r="AC73" s="197">
        <v>11.1</v>
      </c>
      <c r="AD73" s="202">
        <v>36</v>
      </c>
      <c r="AE73" s="221">
        <v>0</v>
      </c>
    </row>
    <row r="74" spans="1:31" hidden="1" outlineLevel="1" x14ac:dyDescent="0.25">
      <c r="A74" s="489"/>
      <c r="B74" s="489"/>
      <c r="C74" s="493" t="s">
        <v>555</v>
      </c>
      <c r="D74" s="510" t="s">
        <v>547</v>
      </c>
      <c r="E74" s="510" t="s">
        <v>562</v>
      </c>
      <c r="F74" s="510" t="s">
        <v>563</v>
      </c>
      <c r="G74" s="515" t="s">
        <v>594</v>
      </c>
      <c r="H74" s="493">
        <v>1.1499999999999999</v>
      </c>
      <c r="I74" s="493">
        <v>96</v>
      </c>
      <c r="J74" s="493">
        <v>3.6</v>
      </c>
      <c r="K74" s="493">
        <v>9.5</v>
      </c>
      <c r="L74" s="514">
        <v>136</v>
      </c>
      <c r="M74" s="522"/>
      <c r="N74" s="489"/>
      <c r="O74" s="489"/>
      <c r="P74" s="489"/>
      <c r="Q74" s="997">
        <f>SUM(R66:R71)*100</f>
        <v>0</v>
      </c>
      <c r="R74" s="489" t="s">
        <v>1241</v>
      </c>
      <c r="T74" s="489"/>
      <c r="W74" s="383" t="s">
        <v>120</v>
      </c>
      <c r="X74" s="383">
        <v>5</v>
      </c>
      <c r="Y74" s="196">
        <v>0.87</v>
      </c>
      <c r="Z74" s="383">
        <v>59</v>
      </c>
      <c r="AA74" s="383">
        <v>97</v>
      </c>
      <c r="AB74" s="197">
        <v>0.8</v>
      </c>
      <c r="AC74" s="197">
        <v>2.7</v>
      </c>
      <c r="AD74" s="202">
        <v>9.1</v>
      </c>
      <c r="AE74" s="221">
        <v>19.399999999999999</v>
      </c>
    </row>
    <row r="75" spans="1:31" hidden="1" outlineLevel="1" x14ac:dyDescent="0.25">
      <c r="A75" s="489"/>
      <c r="B75" s="489"/>
      <c r="C75" s="493" t="s">
        <v>555</v>
      </c>
      <c r="D75" s="510" t="s">
        <v>550</v>
      </c>
      <c r="E75" s="510" t="s">
        <v>562</v>
      </c>
      <c r="F75" s="510" t="s">
        <v>563</v>
      </c>
      <c r="G75" s="515" t="s">
        <v>595</v>
      </c>
      <c r="H75" s="493">
        <v>1.18</v>
      </c>
      <c r="I75" s="493">
        <v>107</v>
      </c>
      <c r="J75" s="511">
        <v>4</v>
      </c>
      <c r="K75" s="511">
        <v>10.5</v>
      </c>
      <c r="L75" s="514">
        <v>137</v>
      </c>
      <c r="M75" s="522"/>
      <c r="N75" s="489"/>
      <c r="O75" s="489"/>
      <c r="P75" s="489"/>
      <c r="Q75" s="489"/>
      <c r="R75" s="489"/>
      <c r="T75" s="489"/>
      <c r="W75" s="383" t="s">
        <v>69</v>
      </c>
      <c r="X75" s="383"/>
      <c r="Y75" s="196">
        <v>0.76</v>
      </c>
      <c r="Z75" s="383">
        <v>77</v>
      </c>
      <c r="AA75" s="383">
        <v>82</v>
      </c>
      <c r="AB75" s="197">
        <v>2.2999999999999998</v>
      </c>
      <c r="AC75" s="197">
        <v>0.4</v>
      </c>
      <c r="AD75" s="202">
        <v>13.1</v>
      </c>
      <c r="AE75" s="221">
        <v>11.6</v>
      </c>
    </row>
    <row r="76" spans="1:31" hidden="1" outlineLevel="1" x14ac:dyDescent="0.25">
      <c r="A76" s="489"/>
      <c r="B76" s="489"/>
      <c r="C76" s="493" t="s">
        <v>555</v>
      </c>
      <c r="D76" s="510" t="s">
        <v>554</v>
      </c>
      <c r="E76" s="510" t="s">
        <v>562</v>
      </c>
      <c r="F76" s="510" t="s">
        <v>563</v>
      </c>
      <c r="G76" s="515" t="s">
        <v>596</v>
      </c>
      <c r="H76" s="493">
        <v>1.21</v>
      </c>
      <c r="I76" s="493">
        <v>118</v>
      </c>
      <c r="J76" s="493">
        <v>4.4000000000000004</v>
      </c>
      <c r="K76" s="493">
        <v>12.4</v>
      </c>
      <c r="L76" s="514">
        <v>138</v>
      </c>
      <c r="M76" s="522"/>
      <c r="N76" s="489"/>
      <c r="O76" s="489"/>
      <c r="P76" s="489"/>
      <c r="Q76" s="489"/>
      <c r="R76" s="489"/>
      <c r="T76" s="489"/>
      <c r="W76" s="383" t="s">
        <v>66</v>
      </c>
      <c r="X76" s="383">
        <v>5</v>
      </c>
      <c r="Y76" s="196">
        <v>1.03</v>
      </c>
      <c r="Z76" s="383">
        <v>59</v>
      </c>
      <c r="AA76" s="383">
        <v>85</v>
      </c>
      <c r="AB76" s="197">
        <v>2.2999999999999998</v>
      </c>
      <c r="AC76" s="197">
        <v>0.6</v>
      </c>
      <c r="AD76" s="202">
        <v>10.3</v>
      </c>
      <c r="AE76" s="221">
        <v>2.2000000000000002</v>
      </c>
    </row>
    <row r="77" spans="1:31" hidden="1" outlineLevel="1" x14ac:dyDescent="0.25">
      <c r="A77" s="489"/>
      <c r="B77" s="489"/>
      <c r="C77" s="493" t="s">
        <v>555</v>
      </c>
      <c r="D77" s="510" t="s">
        <v>556</v>
      </c>
      <c r="E77" s="510" t="s">
        <v>562</v>
      </c>
      <c r="F77" s="510" t="s">
        <v>563</v>
      </c>
      <c r="G77" s="515" t="s">
        <v>597</v>
      </c>
      <c r="H77" s="493">
        <v>1.23</v>
      </c>
      <c r="I77" s="493">
        <v>130</v>
      </c>
      <c r="J77" s="493">
        <v>4.8</v>
      </c>
      <c r="K77" s="493">
        <v>13.9</v>
      </c>
      <c r="L77" s="514">
        <v>139</v>
      </c>
      <c r="M77" s="522"/>
      <c r="N77" s="489"/>
      <c r="O77" s="489"/>
      <c r="P77" s="489"/>
      <c r="Q77" s="489"/>
      <c r="R77" s="489"/>
      <c r="T77" s="489"/>
      <c r="W77" s="383" t="s">
        <v>243</v>
      </c>
      <c r="X77" s="383">
        <v>4</v>
      </c>
      <c r="Y77" s="196">
        <v>1.06</v>
      </c>
      <c r="Z77" s="383">
        <v>67</v>
      </c>
      <c r="AA77" s="383">
        <v>87</v>
      </c>
      <c r="AB77" s="197">
        <v>2.1</v>
      </c>
      <c r="AC77" s="197">
        <v>0.2</v>
      </c>
      <c r="AD77" s="202">
        <v>109</v>
      </c>
      <c r="AE77" s="221">
        <v>2.7</v>
      </c>
    </row>
    <row r="78" spans="1:31" hidden="1" outlineLevel="1" x14ac:dyDescent="0.25">
      <c r="A78" s="489"/>
      <c r="B78" s="489"/>
      <c r="C78" s="509" t="s">
        <v>555</v>
      </c>
      <c r="D78" s="509" t="s">
        <v>558</v>
      </c>
      <c r="E78" s="509" t="s">
        <v>562</v>
      </c>
      <c r="F78" s="509" t="s">
        <v>563</v>
      </c>
      <c r="G78" s="515" t="s">
        <v>598</v>
      </c>
      <c r="H78" s="509" t="s">
        <v>238</v>
      </c>
      <c r="I78" s="509" t="s">
        <v>238</v>
      </c>
      <c r="J78" s="509" t="s">
        <v>238</v>
      </c>
      <c r="K78" s="509" t="s">
        <v>238</v>
      </c>
      <c r="L78" s="514">
        <v>140</v>
      </c>
      <c r="M78" s="522"/>
      <c r="N78" s="489"/>
      <c r="O78" s="489"/>
      <c r="P78" s="489"/>
      <c r="Q78" s="489"/>
      <c r="R78" s="489"/>
      <c r="T78" s="489"/>
      <c r="W78" s="383" t="s">
        <v>890</v>
      </c>
      <c r="X78" s="383">
        <v>17</v>
      </c>
      <c r="Y78" s="196">
        <v>0.97</v>
      </c>
      <c r="Z78" s="383">
        <v>347</v>
      </c>
      <c r="AA78" s="383">
        <v>215</v>
      </c>
      <c r="AB78" s="197">
        <v>3.7</v>
      </c>
      <c r="AC78" s="197">
        <v>1.1000000000000001</v>
      </c>
      <c r="AD78" s="202">
        <v>54.6</v>
      </c>
      <c r="AE78" s="221">
        <v>7.6</v>
      </c>
    </row>
    <row r="79" spans="1:31" hidden="1" outlineLevel="1" x14ac:dyDescent="0.25">
      <c r="A79" s="489"/>
      <c r="B79" s="489"/>
      <c r="C79" s="509" t="s">
        <v>557</v>
      </c>
      <c r="D79" s="509" t="s">
        <v>540</v>
      </c>
      <c r="E79" s="509" t="s">
        <v>562</v>
      </c>
      <c r="F79" s="509" t="s">
        <v>563</v>
      </c>
      <c r="G79" s="515" t="s">
        <v>599</v>
      </c>
      <c r="H79" s="509" t="s">
        <v>238</v>
      </c>
      <c r="I79" s="509" t="s">
        <v>238</v>
      </c>
      <c r="J79" s="509" t="s">
        <v>238</v>
      </c>
      <c r="K79" s="509" t="s">
        <v>238</v>
      </c>
      <c r="L79" s="514">
        <v>162</v>
      </c>
      <c r="M79" s="522"/>
      <c r="N79" s="489"/>
      <c r="O79" s="489"/>
      <c r="P79" s="489"/>
      <c r="Q79" s="489"/>
      <c r="R79" s="489"/>
      <c r="T79" s="489"/>
      <c r="W79" s="383" t="s">
        <v>897</v>
      </c>
      <c r="X79" s="383">
        <v>7</v>
      </c>
      <c r="Y79" s="196">
        <v>0.8</v>
      </c>
      <c r="Z79" s="383">
        <v>219</v>
      </c>
      <c r="AA79" s="383">
        <v>138</v>
      </c>
      <c r="AB79" s="197">
        <v>8.1999999999999993</v>
      </c>
      <c r="AC79" s="197">
        <v>4.5999999999999996</v>
      </c>
      <c r="AD79" s="202">
        <v>35</v>
      </c>
      <c r="AE79" s="221">
        <v>13.9</v>
      </c>
    </row>
    <row r="80" spans="1:31" hidden="1" outlineLevel="1" x14ac:dyDescent="0.25">
      <c r="A80" s="489"/>
      <c r="B80" s="489"/>
      <c r="C80" s="493" t="s">
        <v>557</v>
      </c>
      <c r="D80" s="510" t="s">
        <v>544</v>
      </c>
      <c r="E80" s="510" t="s">
        <v>562</v>
      </c>
      <c r="F80" s="510" t="s">
        <v>563</v>
      </c>
      <c r="G80" s="515" t="s">
        <v>600</v>
      </c>
      <c r="H80" s="493">
        <v>1.21</v>
      </c>
      <c r="I80" s="493">
        <v>76</v>
      </c>
      <c r="J80" s="493">
        <v>3.5</v>
      </c>
      <c r="K80" s="511">
        <v>9</v>
      </c>
      <c r="L80" s="514">
        <v>163</v>
      </c>
      <c r="M80" s="522"/>
      <c r="N80" s="489"/>
      <c r="O80" s="489"/>
      <c r="P80" s="489"/>
      <c r="Q80" s="489"/>
      <c r="R80" s="489"/>
      <c r="T80" s="489"/>
      <c r="W80" s="383" t="s">
        <v>898</v>
      </c>
      <c r="X80" s="383">
        <v>19</v>
      </c>
      <c r="Y80" s="196">
        <v>0.84</v>
      </c>
      <c r="Z80" s="383">
        <v>227</v>
      </c>
      <c r="AA80" s="383">
        <v>179</v>
      </c>
      <c r="AB80" s="197">
        <v>5.3</v>
      </c>
      <c r="AC80" s="197">
        <v>2.5</v>
      </c>
      <c r="AD80" s="202">
        <v>35.9</v>
      </c>
      <c r="AE80" s="221">
        <v>11</v>
      </c>
    </row>
    <row r="81" spans="1:31" hidden="1" outlineLevel="1" x14ac:dyDescent="0.25">
      <c r="A81" s="489"/>
      <c r="B81" s="489"/>
      <c r="C81" s="493" t="s">
        <v>557</v>
      </c>
      <c r="D81" s="510" t="s">
        <v>547</v>
      </c>
      <c r="E81" s="510" t="s">
        <v>562</v>
      </c>
      <c r="F81" s="510" t="s">
        <v>563</v>
      </c>
      <c r="G81" s="515" t="s">
        <v>601</v>
      </c>
      <c r="H81" s="493">
        <v>1.31</v>
      </c>
      <c r="I81" s="493">
        <v>87</v>
      </c>
      <c r="J81" s="493">
        <v>3.9</v>
      </c>
      <c r="K81" s="511">
        <v>10.5</v>
      </c>
      <c r="L81" s="514">
        <v>164</v>
      </c>
      <c r="M81" s="522"/>
      <c r="N81" s="489"/>
      <c r="O81" s="489"/>
      <c r="P81" s="489"/>
      <c r="Q81" s="489"/>
      <c r="R81" s="489"/>
      <c r="T81" s="489"/>
      <c r="W81" s="383" t="s">
        <v>1272</v>
      </c>
      <c r="X81" s="383">
        <v>18</v>
      </c>
      <c r="Y81" s="196">
        <v>1.05</v>
      </c>
      <c r="Z81" s="383">
        <v>331</v>
      </c>
      <c r="AA81" s="383">
        <v>229</v>
      </c>
      <c r="AB81" s="197">
        <v>4.4000000000000004</v>
      </c>
      <c r="AC81" s="197">
        <v>1.8</v>
      </c>
      <c r="AD81" s="202">
        <v>51.6</v>
      </c>
      <c r="AE81" s="221">
        <v>6.8</v>
      </c>
    </row>
    <row r="82" spans="1:31" hidden="1" outlineLevel="1" x14ac:dyDescent="0.25">
      <c r="A82" s="489"/>
      <c r="B82" s="489"/>
      <c r="C82" s="493" t="s">
        <v>557</v>
      </c>
      <c r="D82" s="510" t="s">
        <v>550</v>
      </c>
      <c r="E82" s="510" t="s">
        <v>562</v>
      </c>
      <c r="F82" s="510" t="s">
        <v>563</v>
      </c>
      <c r="G82" s="515" t="s">
        <v>602</v>
      </c>
      <c r="H82" s="493">
        <v>1.36</v>
      </c>
      <c r="I82" s="493">
        <v>99</v>
      </c>
      <c r="J82" s="493">
        <v>4.4000000000000004</v>
      </c>
      <c r="K82" s="511">
        <v>12</v>
      </c>
      <c r="L82" s="514">
        <v>165</v>
      </c>
      <c r="M82" s="522"/>
      <c r="N82" s="489"/>
      <c r="O82" s="489"/>
      <c r="P82" s="489"/>
      <c r="Q82" s="489"/>
      <c r="R82" s="489"/>
      <c r="T82" s="489"/>
      <c r="W82" s="383" t="s">
        <v>899</v>
      </c>
      <c r="X82" s="383">
        <v>27</v>
      </c>
      <c r="Y82" s="196">
        <v>0.46</v>
      </c>
      <c r="Z82" s="383">
        <v>178</v>
      </c>
      <c r="AA82" s="383">
        <v>93</v>
      </c>
      <c r="AB82" s="197">
        <v>6.6</v>
      </c>
      <c r="AC82" s="197">
        <v>2.1</v>
      </c>
      <c r="AD82" s="202">
        <v>37.299999999999997</v>
      </c>
      <c r="AE82" s="221">
        <v>23.6</v>
      </c>
    </row>
    <row r="83" spans="1:31" hidden="1" outlineLevel="1" x14ac:dyDescent="0.25">
      <c r="A83" s="489"/>
      <c r="B83" s="489"/>
      <c r="C83" s="493" t="s">
        <v>557</v>
      </c>
      <c r="D83" s="510" t="s">
        <v>554</v>
      </c>
      <c r="E83" s="510" t="s">
        <v>562</v>
      </c>
      <c r="F83" s="510" t="s">
        <v>563</v>
      </c>
      <c r="G83" s="515" t="s">
        <v>603</v>
      </c>
      <c r="H83" s="508">
        <v>1.4</v>
      </c>
      <c r="I83" s="493">
        <v>100</v>
      </c>
      <c r="J83" s="493">
        <v>4.8</v>
      </c>
      <c r="K83" s="493">
        <v>13.6</v>
      </c>
      <c r="L83" s="514">
        <v>166</v>
      </c>
      <c r="M83" s="522"/>
      <c r="N83" s="489"/>
      <c r="O83" s="489"/>
      <c r="P83" s="489"/>
      <c r="Q83" s="489"/>
      <c r="R83" s="489"/>
      <c r="T83" s="489"/>
      <c r="W83" s="383" t="s">
        <v>62</v>
      </c>
      <c r="X83" s="383">
        <v>6</v>
      </c>
      <c r="Y83" s="196">
        <v>1.02</v>
      </c>
      <c r="Z83" s="383">
        <v>63</v>
      </c>
      <c r="AA83" s="383">
        <v>84</v>
      </c>
      <c r="AB83" s="197">
        <v>2.6</v>
      </c>
      <c r="AC83" s="197">
        <v>0.4</v>
      </c>
      <c r="AD83" s="202">
        <v>11</v>
      </c>
      <c r="AE83" s="221">
        <v>2.7</v>
      </c>
    </row>
    <row r="84" spans="1:31" hidden="1" outlineLevel="1" x14ac:dyDescent="0.25">
      <c r="A84" s="489"/>
      <c r="B84" s="489"/>
      <c r="C84" s="493" t="s">
        <v>557</v>
      </c>
      <c r="D84" s="510" t="s">
        <v>556</v>
      </c>
      <c r="E84" s="510" t="s">
        <v>562</v>
      </c>
      <c r="F84" s="510" t="s">
        <v>563</v>
      </c>
      <c r="G84" s="515" t="s">
        <v>604</v>
      </c>
      <c r="H84" s="493">
        <v>1.43</v>
      </c>
      <c r="I84" s="493">
        <v>121</v>
      </c>
      <c r="J84" s="493">
        <v>5.2</v>
      </c>
      <c r="K84" s="493">
        <v>15.3</v>
      </c>
      <c r="L84" s="514">
        <v>167</v>
      </c>
      <c r="M84" s="522"/>
      <c r="N84" s="489"/>
      <c r="O84" s="489"/>
      <c r="P84" s="489"/>
      <c r="Q84" s="489"/>
      <c r="R84" s="489"/>
      <c r="T84" s="489"/>
      <c r="W84" s="383" t="s">
        <v>244</v>
      </c>
      <c r="X84" s="383">
        <v>0</v>
      </c>
      <c r="Y84" s="196">
        <v>0</v>
      </c>
      <c r="Z84" s="383">
        <v>1443</v>
      </c>
      <c r="AA84" s="383">
        <v>0</v>
      </c>
      <c r="AB84" s="197">
        <v>0</v>
      </c>
      <c r="AC84" s="197">
        <v>0</v>
      </c>
      <c r="AD84" s="202">
        <v>0</v>
      </c>
      <c r="AE84" s="221">
        <v>0</v>
      </c>
    </row>
    <row r="85" spans="1:31" hidden="1" outlineLevel="1" x14ac:dyDescent="0.25">
      <c r="A85" s="489"/>
      <c r="B85" s="489"/>
      <c r="C85" s="509" t="s">
        <v>557</v>
      </c>
      <c r="D85" s="509" t="s">
        <v>558</v>
      </c>
      <c r="E85" s="509" t="s">
        <v>562</v>
      </c>
      <c r="F85" s="509" t="s">
        <v>563</v>
      </c>
      <c r="G85" s="515" t="s">
        <v>605</v>
      </c>
      <c r="H85" s="509" t="s">
        <v>238</v>
      </c>
      <c r="I85" s="509" t="s">
        <v>238</v>
      </c>
      <c r="J85" s="509" t="s">
        <v>238</v>
      </c>
      <c r="K85" s="509" t="s">
        <v>238</v>
      </c>
      <c r="L85" s="514">
        <v>168</v>
      </c>
      <c r="M85" s="522"/>
      <c r="N85" s="489"/>
      <c r="O85" s="489"/>
      <c r="P85" s="489"/>
      <c r="Q85" s="489"/>
      <c r="R85" s="489"/>
      <c r="T85" s="489"/>
      <c r="W85" s="383" t="s">
        <v>64</v>
      </c>
      <c r="X85" s="383"/>
      <c r="Y85" s="196">
        <v>1.01</v>
      </c>
      <c r="Z85" s="383">
        <v>161</v>
      </c>
      <c r="AA85" s="383">
        <v>90</v>
      </c>
      <c r="AB85" s="197">
        <v>3.4</v>
      </c>
      <c r="AC85" s="197">
        <v>0.9</v>
      </c>
      <c r="AD85" s="202">
        <v>29.6</v>
      </c>
      <c r="AE85" s="221">
        <v>7.4</v>
      </c>
    </row>
    <row r="86" spans="1:31" hidden="1" outlineLevel="1" x14ac:dyDescent="0.25">
      <c r="A86" s="489"/>
      <c r="B86" s="489"/>
      <c r="C86" s="493" t="s">
        <v>542</v>
      </c>
      <c r="D86" s="493" t="s">
        <v>540</v>
      </c>
      <c r="E86" s="493" t="s">
        <v>606</v>
      </c>
      <c r="F86" s="493" t="s">
        <v>563</v>
      </c>
      <c r="G86" s="515" t="s">
        <v>607</v>
      </c>
      <c r="H86" s="493">
        <v>0.68</v>
      </c>
      <c r="I86" s="493">
        <v>62</v>
      </c>
      <c r="J86" s="493">
        <v>1.7</v>
      </c>
      <c r="K86" s="493">
        <v>4.2</v>
      </c>
      <c r="L86" s="514">
        <v>8</v>
      </c>
      <c r="M86" s="522"/>
      <c r="N86" s="489"/>
      <c r="O86" s="489"/>
      <c r="P86" s="489"/>
      <c r="Q86" s="489"/>
      <c r="R86" s="489"/>
      <c r="T86" s="489"/>
      <c r="W86" s="222"/>
      <c r="X86" s="226"/>
      <c r="Y86" s="222"/>
      <c r="Z86" s="222"/>
      <c r="AA86" s="222"/>
      <c r="AB86" s="222"/>
      <c r="AC86" s="222"/>
      <c r="AD86" s="202"/>
      <c r="AE86" s="221"/>
    </row>
    <row r="87" spans="1:31" hidden="1" outlineLevel="1" x14ac:dyDescent="0.25">
      <c r="A87" s="489"/>
      <c r="B87" s="489"/>
      <c r="C87" s="493" t="s">
        <v>542</v>
      </c>
      <c r="D87" s="493" t="s">
        <v>544</v>
      </c>
      <c r="E87" s="493" t="s">
        <v>606</v>
      </c>
      <c r="F87" s="493" t="s">
        <v>563</v>
      </c>
      <c r="G87" s="515" t="s">
        <v>608</v>
      </c>
      <c r="H87" s="493">
        <v>0.69</v>
      </c>
      <c r="I87" s="493">
        <v>75</v>
      </c>
      <c r="J87" s="493">
        <v>2.1</v>
      </c>
      <c r="K87" s="493">
        <v>5.3</v>
      </c>
      <c r="L87" s="514">
        <v>9</v>
      </c>
      <c r="M87" s="522"/>
      <c r="N87" s="489"/>
      <c r="O87" s="489"/>
      <c r="P87" s="489"/>
      <c r="Q87" s="489"/>
      <c r="R87" s="489"/>
      <c r="T87" s="489"/>
      <c r="W87" s="222"/>
      <c r="X87" s="226"/>
      <c r="Y87" s="222"/>
      <c r="Z87" s="222"/>
      <c r="AA87" s="222"/>
      <c r="AB87" s="222"/>
      <c r="AC87" s="222"/>
      <c r="AD87" s="202"/>
      <c r="AE87" s="221"/>
    </row>
    <row r="88" spans="1:31" hidden="1" outlineLevel="1" x14ac:dyDescent="0.25">
      <c r="A88" s="489"/>
      <c r="B88" s="489"/>
      <c r="C88" s="493" t="s">
        <v>542</v>
      </c>
      <c r="D88" s="493" t="s">
        <v>547</v>
      </c>
      <c r="E88" s="493" t="s">
        <v>606</v>
      </c>
      <c r="F88" s="493" t="s">
        <v>563</v>
      </c>
      <c r="G88" s="515" t="s">
        <v>609</v>
      </c>
      <c r="H88" s="493">
        <v>0.71</v>
      </c>
      <c r="I88" s="493">
        <v>87</v>
      </c>
      <c r="J88" s="493">
        <v>2.5</v>
      </c>
      <c r="K88" s="493">
        <v>6.4</v>
      </c>
      <c r="L88" s="514">
        <v>10</v>
      </c>
      <c r="M88" s="522"/>
      <c r="N88" s="489"/>
      <c r="O88" s="489"/>
      <c r="P88" s="489"/>
      <c r="Q88" s="489"/>
      <c r="R88" s="489"/>
      <c r="T88" s="489"/>
      <c r="W88" s="222"/>
      <c r="X88" s="226"/>
      <c r="Y88" s="228"/>
      <c r="Z88" s="229"/>
      <c r="AA88" s="222"/>
      <c r="AB88" s="222"/>
      <c r="AC88" s="222"/>
      <c r="AD88" s="202"/>
      <c r="AE88" s="221"/>
    </row>
    <row r="89" spans="1:31" hidden="1" outlineLevel="1" x14ac:dyDescent="0.25">
      <c r="A89" s="489"/>
      <c r="B89" s="489"/>
      <c r="C89" s="493" t="s">
        <v>542</v>
      </c>
      <c r="D89" s="493" t="s">
        <v>550</v>
      </c>
      <c r="E89" s="493" t="s">
        <v>606</v>
      </c>
      <c r="F89" s="493" t="s">
        <v>563</v>
      </c>
      <c r="G89" s="515" t="s">
        <v>610</v>
      </c>
      <c r="H89" s="493" t="s">
        <v>238</v>
      </c>
      <c r="I89" s="493" t="s">
        <v>238</v>
      </c>
      <c r="J89" s="493">
        <v>2.9</v>
      </c>
      <c r="K89" s="493" t="s">
        <v>238</v>
      </c>
      <c r="L89" s="514">
        <v>11</v>
      </c>
      <c r="M89" s="522"/>
      <c r="N89" s="489"/>
      <c r="O89" s="489"/>
      <c r="P89" s="489"/>
      <c r="Q89" s="489"/>
      <c r="R89" s="489"/>
      <c r="T89" s="489"/>
      <c r="W89" s="198"/>
      <c r="X89" s="383"/>
      <c r="Y89" s="199"/>
      <c r="Z89" s="200"/>
      <c r="AA89" s="200"/>
      <c r="AB89" s="201"/>
      <c r="AC89" s="201"/>
      <c r="AD89" s="202"/>
      <c r="AE89" s="221"/>
    </row>
    <row r="90" spans="1:31" hidden="1" outlineLevel="1" x14ac:dyDescent="0.25">
      <c r="A90" s="489"/>
      <c r="B90" s="489"/>
      <c r="C90" s="509" t="s">
        <v>542</v>
      </c>
      <c r="D90" s="509" t="s">
        <v>554</v>
      </c>
      <c r="E90" s="509" t="s">
        <v>606</v>
      </c>
      <c r="F90" s="509" t="s">
        <v>563</v>
      </c>
      <c r="G90" s="515" t="s">
        <v>611</v>
      </c>
      <c r="H90" s="509" t="s">
        <v>238</v>
      </c>
      <c r="I90" s="509" t="s">
        <v>238</v>
      </c>
      <c r="J90" s="509" t="s">
        <v>238</v>
      </c>
      <c r="K90" s="509" t="s">
        <v>238</v>
      </c>
      <c r="L90" s="514">
        <v>12</v>
      </c>
      <c r="M90" s="522"/>
      <c r="N90" s="489"/>
      <c r="O90" s="489"/>
      <c r="P90" s="489"/>
      <c r="Q90" s="489"/>
      <c r="R90" s="489"/>
      <c r="T90" s="489"/>
      <c r="W90" s="198"/>
      <c r="X90" s="383"/>
      <c r="Y90" s="199"/>
      <c r="Z90" s="200"/>
      <c r="AA90" s="200"/>
      <c r="AB90" s="201"/>
      <c r="AC90" s="201"/>
      <c r="AD90" s="202"/>
      <c r="AE90" s="221"/>
    </row>
    <row r="91" spans="1:31" hidden="1" outlineLevel="1" x14ac:dyDescent="0.25">
      <c r="A91" s="489"/>
      <c r="B91" s="489"/>
      <c r="C91" s="509" t="s">
        <v>542</v>
      </c>
      <c r="D91" s="509" t="s">
        <v>556</v>
      </c>
      <c r="E91" s="509" t="s">
        <v>606</v>
      </c>
      <c r="F91" s="509" t="s">
        <v>563</v>
      </c>
      <c r="G91" s="515" t="s">
        <v>612</v>
      </c>
      <c r="H91" s="509" t="s">
        <v>238</v>
      </c>
      <c r="I91" s="509" t="s">
        <v>238</v>
      </c>
      <c r="J91" s="509" t="s">
        <v>238</v>
      </c>
      <c r="K91" s="509" t="s">
        <v>238</v>
      </c>
      <c r="L91" s="514">
        <v>13</v>
      </c>
      <c r="M91" s="522"/>
      <c r="N91" s="489"/>
      <c r="O91" s="489"/>
      <c r="P91" s="489"/>
      <c r="Q91" s="489"/>
      <c r="R91" s="489"/>
      <c r="T91" s="489"/>
      <c r="W91" s="198"/>
      <c r="X91" s="383"/>
      <c r="Y91" s="199"/>
      <c r="Z91" s="200"/>
      <c r="AA91" s="200"/>
      <c r="AB91" s="201"/>
      <c r="AC91" s="201"/>
      <c r="AD91" s="202"/>
      <c r="AE91" s="221"/>
    </row>
    <row r="92" spans="1:31" hidden="1" outlineLevel="1" x14ac:dyDescent="0.25">
      <c r="A92" s="489"/>
      <c r="B92" s="489"/>
      <c r="C92" s="509" t="s">
        <v>542</v>
      </c>
      <c r="D92" s="509" t="s">
        <v>558</v>
      </c>
      <c r="E92" s="509" t="s">
        <v>606</v>
      </c>
      <c r="F92" s="509" t="s">
        <v>563</v>
      </c>
      <c r="G92" s="515" t="s">
        <v>613</v>
      </c>
      <c r="H92" s="509" t="s">
        <v>238</v>
      </c>
      <c r="I92" s="509" t="s">
        <v>238</v>
      </c>
      <c r="J92" s="509" t="s">
        <v>238</v>
      </c>
      <c r="K92" s="509" t="s">
        <v>238</v>
      </c>
      <c r="L92" s="514">
        <v>14</v>
      </c>
      <c r="M92" s="522"/>
      <c r="N92" s="489"/>
      <c r="O92" s="489"/>
      <c r="P92" s="489"/>
      <c r="Q92" s="489"/>
      <c r="R92" s="489"/>
      <c r="T92" s="489"/>
      <c r="W92" s="198"/>
      <c r="X92" s="383"/>
      <c r="Y92" s="199"/>
      <c r="Z92" s="200"/>
      <c r="AA92" s="200"/>
      <c r="AB92" s="201"/>
      <c r="AC92" s="201"/>
      <c r="AD92" s="202"/>
      <c r="AE92" s="221"/>
    </row>
    <row r="93" spans="1:31" hidden="1" outlineLevel="1" x14ac:dyDescent="0.25">
      <c r="A93" s="489"/>
      <c r="B93" s="489"/>
      <c r="C93" s="493" t="s">
        <v>546</v>
      </c>
      <c r="D93" s="510" t="s">
        <v>540</v>
      </c>
      <c r="E93" s="510" t="s">
        <v>606</v>
      </c>
      <c r="F93" s="510" t="s">
        <v>563</v>
      </c>
      <c r="G93" s="515" t="s">
        <v>614</v>
      </c>
      <c r="H93" s="508">
        <v>0.8</v>
      </c>
      <c r="I93" s="493">
        <v>65</v>
      </c>
      <c r="J93" s="511">
        <v>1.9</v>
      </c>
      <c r="K93" s="511">
        <v>4.5999999999999996</v>
      </c>
      <c r="L93" s="514">
        <v>36</v>
      </c>
      <c r="M93" s="522"/>
      <c r="N93" s="489"/>
      <c r="O93" s="489"/>
      <c r="P93" s="489"/>
      <c r="Q93" s="489"/>
      <c r="R93" s="489"/>
      <c r="T93" s="489"/>
      <c r="W93" s="222"/>
      <c r="X93" s="226"/>
      <c r="Y93" s="228"/>
      <c r="Z93" s="229"/>
      <c r="AA93" s="229"/>
      <c r="AB93" s="222"/>
      <c r="AC93" s="222"/>
      <c r="AD93" s="217"/>
      <c r="AE93" s="383"/>
    </row>
    <row r="94" spans="1:31" hidden="1" outlineLevel="1" x14ac:dyDescent="0.25">
      <c r="A94" s="489"/>
      <c r="B94" s="489"/>
      <c r="C94" s="493" t="s">
        <v>546</v>
      </c>
      <c r="D94" s="510" t="s">
        <v>544</v>
      </c>
      <c r="E94" s="510" t="s">
        <v>606</v>
      </c>
      <c r="F94" s="510" t="s">
        <v>563</v>
      </c>
      <c r="G94" s="515" t="s">
        <v>615</v>
      </c>
      <c r="H94" s="493">
        <v>0.84</v>
      </c>
      <c r="I94" s="493">
        <v>78</v>
      </c>
      <c r="J94" s="511">
        <v>2.2999999999999998</v>
      </c>
      <c r="K94" s="511">
        <v>5.7</v>
      </c>
      <c r="L94" s="514">
        <v>37</v>
      </c>
      <c r="M94" s="522"/>
      <c r="N94" s="489"/>
      <c r="O94" s="489"/>
      <c r="P94" s="489"/>
      <c r="Q94" s="489"/>
      <c r="R94" s="489"/>
      <c r="T94" s="489"/>
    </row>
    <row r="95" spans="1:31" hidden="1" outlineLevel="1" x14ac:dyDescent="0.25">
      <c r="A95" s="489"/>
      <c r="B95" s="489"/>
      <c r="C95" s="493" t="s">
        <v>546</v>
      </c>
      <c r="D95" s="510" t="s">
        <v>547</v>
      </c>
      <c r="E95" s="510" t="s">
        <v>606</v>
      </c>
      <c r="F95" s="510" t="s">
        <v>563</v>
      </c>
      <c r="G95" s="515" t="s">
        <v>616</v>
      </c>
      <c r="H95" s="493">
        <v>0.89</v>
      </c>
      <c r="I95" s="493">
        <v>90</v>
      </c>
      <c r="J95" s="511">
        <v>2.7</v>
      </c>
      <c r="K95" s="511">
        <v>6.8</v>
      </c>
      <c r="L95" s="514">
        <v>38</v>
      </c>
      <c r="M95" s="522"/>
      <c r="N95" s="489"/>
      <c r="O95" s="489"/>
      <c r="P95" s="489"/>
      <c r="Q95" s="489"/>
      <c r="R95" s="489"/>
      <c r="T95" s="489"/>
    </row>
    <row r="96" spans="1:31" hidden="1" outlineLevel="1" x14ac:dyDescent="0.25">
      <c r="A96" s="489"/>
      <c r="B96" s="489"/>
      <c r="C96" s="493" t="s">
        <v>546</v>
      </c>
      <c r="D96" s="510" t="s">
        <v>550</v>
      </c>
      <c r="E96" s="510" t="s">
        <v>606</v>
      </c>
      <c r="F96" s="510" t="s">
        <v>563</v>
      </c>
      <c r="G96" s="515" t="s">
        <v>617</v>
      </c>
      <c r="H96" s="493">
        <v>0.91</v>
      </c>
      <c r="I96" s="493">
        <v>103</v>
      </c>
      <c r="J96" s="511">
        <v>3</v>
      </c>
      <c r="K96" s="511">
        <v>8</v>
      </c>
      <c r="L96" s="514">
        <v>39</v>
      </c>
      <c r="M96" s="522"/>
      <c r="N96" s="489"/>
      <c r="O96" s="489"/>
      <c r="P96" s="489"/>
      <c r="Q96" s="489"/>
      <c r="R96" s="489"/>
      <c r="T96" s="489"/>
    </row>
    <row r="97" spans="1:20" hidden="1" outlineLevel="1" x14ac:dyDescent="0.25">
      <c r="A97" s="489"/>
      <c r="B97" s="489"/>
      <c r="C97" s="509" t="s">
        <v>546</v>
      </c>
      <c r="D97" s="509" t="s">
        <v>554</v>
      </c>
      <c r="E97" s="509" t="s">
        <v>606</v>
      </c>
      <c r="F97" s="509" t="s">
        <v>563</v>
      </c>
      <c r="G97" s="515" t="s">
        <v>618</v>
      </c>
      <c r="H97" s="509" t="s">
        <v>238</v>
      </c>
      <c r="I97" s="509" t="s">
        <v>238</v>
      </c>
      <c r="J97" s="509" t="s">
        <v>238</v>
      </c>
      <c r="K97" s="509" t="s">
        <v>238</v>
      </c>
      <c r="L97" s="514">
        <v>40</v>
      </c>
      <c r="M97" s="522"/>
      <c r="N97" s="489"/>
      <c r="O97" s="489"/>
      <c r="P97" s="489"/>
      <c r="Q97" s="489"/>
      <c r="R97" s="489"/>
      <c r="T97" s="489"/>
    </row>
    <row r="98" spans="1:20" hidden="1" outlineLevel="1" x14ac:dyDescent="0.25">
      <c r="A98" s="489"/>
      <c r="B98" s="489"/>
      <c r="C98" s="509" t="s">
        <v>546</v>
      </c>
      <c r="D98" s="509" t="s">
        <v>556</v>
      </c>
      <c r="E98" s="509" t="s">
        <v>606</v>
      </c>
      <c r="F98" s="509" t="s">
        <v>563</v>
      </c>
      <c r="G98" s="515" t="s">
        <v>619</v>
      </c>
      <c r="H98" s="509" t="s">
        <v>238</v>
      </c>
      <c r="I98" s="509" t="s">
        <v>238</v>
      </c>
      <c r="J98" s="509" t="s">
        <v>238</v>
      </c>
      <c r="K98" s="509" t="s">
        <v>238</v>
      </c>
      <c r="L98" s="514">
        <v>41</v>
      </c>
      <c r="M98" s="522"/>
      <c r="N98" s="489"/>
      <c r="O98" s="489"/>
      <c r="P98" s="489"/>
      <c r="Q98" s="489"/>
      <c r="R98" s="489"/>
      <c r="T98" s="489"/>
    </row>
    <row r="99" spans="1:20" hidden="1" outlineLevel="1" x14ac:dyDescent="0.25">
      <c r="A99" s="489"/>
      <c r="B99" s="489"/>
      <c r="C99" s="509" t="s">
        <v>546</v>
      </c>
      <c r="D99" s="509" t="s">
        <v>558</v>
      </c>
      <c r="E99" s="509" t="s">
        <v>606</v>
      </c>
      <c r="F99" s="509" t="s">
        <v>563</v>
      </c>
      <c r="G99" s="515" t="s">
        <v>620</v>
      </c>
      <c r="H99" s="509" t="s">
        <v>238</v>
      </c>
      <c r="I99" s="509" t="s">
        <v>238</v>
      </c>
      <c r="J99" s="509" t="s">
        <v>238</v>
      </c>
      <c r="K99" s="509" t="s">
        <v>238</v>
      </c>
      <c r="L99" s="514">
        <v>42</v>
      </c>
      <c r="M99" s="522"/>
      <c r="N99" s="489"/>
      <c r="O99" s="489"/>
      <c r="P99" s="489"/>
      <c r="Q99" s="489"/>
      <c r="R99" s="489"/>
      <c r="T99" s="489"/>
    </row>
    <row r="100" spans="1:20" hidden="1" outlineLevel="1" x14ac:dyDescent="0.25">
      <c r="A100" s="489"/>
      <c r="B100" s="489"/>
      <c r="C100" s="493" t="s">
        <v>549</v>
      </c>
      <c r="D100" s="510" t="s">
        <v>540</v>
      </c>
      <c r="E100" s="510" t="s">
        <v>606</v>
      </c>
      <c r="F100" s="510" t="s">
        <v>563</v>
      </c>
      <c r="G100" s="515" t="s">
        <v>621</v>
      </c>
      <c r="H100" s="493">
        <v>0.92</v>
      </c>
      <c r="I100" s="493">
        <v>68</v>
      </c>
      <c r="J100" s="493">
        <v>2.2000000000000002</v>
      </c>
      <c r="K100" s="493">
        <v>5.2</v>
      </c>
      <c r="L100" s="514">
        <v>64</v>
      </c>
      <c r="M100" s="522"/>
      <c r="N100" s="489"/>
      <c r="O100" s="489"/>
      <c r="P100" s="489"/>
      <c r="Q100" s="489"/>
      <c r="R100" s="489"/>
      <c r="T100" s="489"/>
    </row>
    <row r="101" spans="1:20" hidden="1" outlineLevel="1" x14ac:dyDescent="0.25">
      <c r="A101" s="489"/>
      <c r="B101" s="489"/>
      <c r="C101" s="493" t="s">
        <v>549</v>
      </c>
      <c r="D101" s="510" t="s">
        <v>544</v>
      </c>
      <c r="E101" s="510" t="s">
        <v>606</v>
      </c>
      <c r="F101" s="510" t="s">
        <v>563</v>
      </c>
      <c r="G101" s="515" t="s">
        <v>622</v>
      </c>
      <c r="H101" s="493">
        <v>0.98</v>
      </c>
      <c r="I101" s="493">
        <v>80</v>
      </c>
      <c r="J101" s="493">
        <v>2.6</v>
      </c>
      <c r="K101" s="493">
        <v>6.4</v>
      </c>
      <c r="L101" s="514">
        <v>65</v>
      </c>
      <c r="M101" s="522"/>
      <c r="N101" s="489"/>
      <c r="O101" s="489"/>
      <c r="P101" s="489"/>
      <c r="Q101" s="489"/>
      <c r="R101" s="489"/>
      <c r="T101" s="489"/>
    </row>
    <row r="102" spans="1:20" hidden="1" outlineLevel="1" x14ac:dyDescent="0.25">
      <c r="A102" s="489"/>
      <c r="B102" s="489"/>
      <c r="C102" s="493" t="s">
        <v>549</v>
      </c>
      <c r="D102" s="510" t="s">
        <v>547</v>
      </c>
      <c r="E102" s="510" t="s">
        <v>606</v>
      </c>
      <c r="F102" s="510" t="s">
        <v>563</v>
      </c>
      <c r="G102" s="515" t="s">
        <v>623</v>
      </c>
      <c r="H102" s="493">
        <v>1.06</v>
      </c>
      <c r="I102" s="493">
        <v>91</v>
      </c>
      <c r="J102" s="511">
        <v>3</v>
      </c>
      <c r="K102" s="493">
        <v>7.6</v>
      </c>
      <c r="L102" s="514">
        <v>66</v>
      </c>
      <c r="M102" s="522"/>
      <c r="N102" s="489"/>
      <c r="O102" s="489"/>
      <c r="P102" s="489"/>
      <c r="Q102" s="489"/>
      <c r="R102" s="489"/>
      <c r="T102" s="489"/>
    </row>
    <row r="103" spans="1:20" hidden="1" outlineLevel="1" x14ac:dyDescent="0.25">
      <c r="A103" s="489"/>
      <c r="B103" s="489"/>
      <c r="C103" s="493" t="s">
        <v>549</v>
      </c>
      <c r="D103" s="510" t="s">
        <v>550</v>
      </c>
      <c r="E103" s="510" t="s">
        <v>606</v>
      </c>
      <c r="F103" s="510" t="s">
        <v>563</v>
      </c>
      <c r="G103" s="515" t="s">
        <v>624</v>
      </c>
      <c r="H103" s="493">
        <v>1.1000000000000001</v>
      </c>
      <c r="I103" s="493">
        <v>103</v>
      </c>
      <c r="J103" s="493">
        <v>3.3</v>
      </c>
      <c r="K103" s="493">
        <v>8.9</v>
      </c>
      <c r="L103" s="514">
        <v>67</v>
      </c>
      <c r="M103" s="522"/>
      <c r="N103" s="489"/>
      <c r="O103" s="489"/>
      <c r="P103" s="489"/>
      <c r="Q103" s="489"/>
      <c r="R103" s="489"/>
      <c r="T103" s="489"/>
    </row>
    <row r="104" spans="1:20" hidden="1" outlineLevel="1" x14ac:dyDescent="0.25">
      <c r="A104" s="489"/>
      <c r="B104" s="489"/>
      <c r="C104" s="509" t="s">
        <v>549</v>
      </c>
      <c r="D104" s="509" t="s">
        <v>554</v>
      </c>
      <c r="E104" s="509" t="s">
        <v>606</v>
      </c>
      <c r="F104" s="509" t="s">
        <v>563</v>
      </c>
      <c r="G104" s="515" t="s">
        <v>625</v>
      </c>
      <c r="H104" s="509" t="s">
        <v>238</v>
      </c>
      <c r="I104" s="509" t="s">
        <v>238</v>
      </c>
      <c r="J104" s="509" t="s">
        <v>238</v>
      </c>
      <c r="K104" s="509" t="s">
        <v>238</v>
      </c>
      <c r="L104" s="514">
        <v>68</v>
      </c>
      <c r="M104" s="522"/>
      <c r="N104" s="489"/>
      <c r="O104" s="489"/>
      <c r="P104" s="489"/>
      <c r="Q104" s="489"/>
      <c r="R104" s="489"/>
      <c r="T104" s="489"/>
    </row>
    <row r="105" spans="1:20" hidden="1" outlineLevel="1" x14ac:dyDescent="0.25">
      <c r="A105" s="489"/>
      <c r="B105" s="489"/>
      <c r="C105" s="509" t="s">
        <v>549</v>
      </c>
      <c r="D105" s="509" t="s">
        <v>556</v>
      </c>
      <c r="E105" s="509" t="s">
        <v>606</v>
      </c>
      <c r="F105" s="509" t="s">
        <v>563</v>
      </c>
      <c r="G105" s="515" t="s">
        <v>626</v>
      </c>
      <c r="H105" s="509" t="s">
        <v>238</v>
      </c>
      <c r="I105" s="509" t="s">
        <v>238</v>
      </c>
      <c r="J105" s="509" t="s">
        <v>238</v>
      </c>
      <c r="K105" s="509" t="s">
        <v>238</v>
      </c>
      <c r="L105" s="514">
        <v>69</v>
      </c>
      <c r="M105" s="522"/>
      <c r="N105" s="489"/>
      <c r="O105" s="489"/>
      <c r="P105" s="489"/>
      <c r="Q105" s="489"/>
      <c r="R105" s="489"/>
      <c r="T105" s="489"/>
    </row>
    <row r="106" spans="1:20" hidden="1" outlineLevel="1" x14ac:dyDescent="0.25">
      <c r="A106" s="489"/>
      <c r="B106" s="489"/>
      <c r="C106" s="509" t="s">
        <v>549</v>
      </c>
      <c r="D106" s="509" t="s">
        <v>558</v>
      </c>
      <c r="E106" s="509" t="s">
        <v>606</v>
      </c>
      <c r="F106" s="509" t="s">
        <v>563</v>
      </c>
      <c r="G106" s="515" t="s">
        <v>627</v>
      </c>
      <c r="H106" s="509" t="s">
        <v>238</v>
      </c>
      <c r="I106" s="509" t="s">
        <v>238</v>
      </c>
      <c r="J106" s="509" t="s">
        <v>238</v>
      </c>
      <c r="K106" s="509" t="s">
        <v>238</v>
      </c>
      <c r="L106" s="514">
        <v>70</v>
      </c>
      <c r="M106" s="522"/>
      <c r="N106" s="489"/>
      <c r="O106" s="489"/>
      <c r="P106" s="489"/>
      <c r="Q106" s="489"/>
      <c r="R106" s="489"/>
      <c r="T106" s="489"/>
    </row>
    <row r="107" spans="1:20" hidden="1" outlineLevel="1" x14ac:dyDescent="0.25">
      <c r="A107" s="489"/>
      <c r="B107" s="489"/>
      <c r="C107" s="493" t="s">
        <v>552</v>
      </c>
      <c r="D107" s="510" t="s">
        <v>540</v>
      </c>
      <c r="E107" s="510" t="s">
        <v>606</v>
      </c>
      <c r="F107" s="510" t="s">
        <v>563</v>
      </c>
      <c r="G107" s="515" t="s">
        <v>628</v>
      </c>
      <c r="H107" s="510">
        <v>1.04</v>
      </c>
      <c r="I107" s="510">
        <v>70</v>
      </c>
      <c r="J107" s="493">
        <v>2.4</v>
      </c>
      <c r="K107" s="493">
        <v>5.8</v>
      </c>
      <c r="L107" s="514">
        <v>92</v>
      </c>
      <c r="M107" s="522"/>
      <c r="N107" s="489"/>
      <c r="O107" s="489"/>
      <c r="P107" s="489"/>
      <c r="Q107" s="489"/>
      <c r="R107" s="489"/>
      <c r="T107" s="489"/>
    </row>
    <row r="108" spans="1:20" hidden="1" outlineLevel="1" x14ac:dyDescent="0.25">
      <c r="A108" s="489"/>
      <c r="B108" s="489"/>
      <c r="C108" s="493" t="s">
        <v>552</v>
      </c>
      <c r="D108" s="510" t="s">
        <v>544</v>
      </c>
      <c r="E108" s="510" t="s">
        <v>606</v>
      </c>
      <c r="F108" s="510" t="s">
        <v>563</v>
      </c>
      <c r="G108" s="515" t="s">
        <v>629</v>
      </c>
      <c r="H108" s="510">
        <v>1.1299999999999999</v>
      </c>
      <c r="I108" s="510">
        <v>81</v>
      </c>
      <c r="J108" s="493">
        <v>2.8</v>
      </c>
      <c r="K108" s="493">
        <v>7.1</v>
      </c>
      <c r="L108" s="514">
        <v>93</v>
      </c>
      <c r="M108" s="522"/>
      <c r="N108" s="489"/>
      <c r="O108" s="489"/>
      <c r="P108" s="489"/>
      <c r="Q108" s="489"/>
      <c r="R108" s="489"/>
      <c r="T108" s="489"/>
    </row>
    <row r="109" spans="1:20" hidden="1" outlineLevel="1" x14ac:dyDescent="0.25">
      <c r="A109" s="489"/>
      <c r="B109" s="489"/>
      <c r="C109" s="493" t="s">
        <v>552</v>
      </c>
      <c r="D109" s="510" t="s">
        <v>547</v>
      </c>
      <c r="E109" s="510" t="s">
        <v>606</v>
      </c>
      <c r="F109" s="510" t="s">
        <v>563</v>
      </c>
      <c r="G109" s="515" t="s">
        <v>630</v>
      </c>
      <c r="H109" s="510">
        <v>1.23</v>
      </c>
      <c r="I109" s="510">
        <v>93</v>
      </c>
      <c r="J109" s="493">
        <v>3.2</v>
      </c>
      <c r="K109" s="493">
        <v>8.5</v>
      </c>
      <c r="L109" s="514">
        <v>94</v>
      </c>
      <c r="M109" s="522"/>
      <c r="N109" s="489"/>
      <c r="O109" s="489"/>
      <c r="P109" s="489"/>
      <c r="Q109" s="489"/>
      <c r="R109" s="489"/>
      <c r="T109" s="489"/>
    </row>
    <row r="110" spans="1:20" hidden="1" outlineLevel="1" x14ac:dyDescent="0.25">
      <c r="A110" s="489"/>
      <c r="B110" s="489"/>
      <c r="C110" s="493" t="s">
        <v>552</v>
      </c>
      <c r="D110" s="510" t="s">
        <v>550</v>
      </c>
      <c r="E110" s="510" t="s">
        <v>606</v>
      </c>
      <c r="F110" s="510" t="s">
        <v>563</v>
      </c>
      <c r="G110" s="515" t="s">
        <v>631</v>
      </c>
      <c r="H110" s="510">
        <v>1.25</v>
      </c>
      <c r="I110" s="510">
        <v>104</v>
      </c>
      <c r="J110" s="493">
        <v>3.6</v>
      </c>
      <c r="K110" s="493">
        <v>9.6999999999999993</v>
      </c>
      <c r="L110" s="514">
        <v>95</v>
      </c>
      <c r="M110" s="522"/>
      <c r="N110" s="489"/>
      <c r="O110" s="489"/>
      <c r="P110" s="489"/>
      <c r="Q110" s="489"/>
      <c r="R110" s="489"/>
      <c r="T110" s="489"/>
    </row>
    <row r="111" spans="1:20" hidden="1" outlineLevel="1" x14ac:dyDescent="0.25">
      <c r="A111" s="489"/>
      <c r="B111" s="489"/>
      <c r="C111" s="509" t="s">
        <v>552</v>
      </c>
      <c r="D111" s="509" t="s">
        <v>554</v>
      </c>
      <c r="E111" s="509" t="s">
        <v>606</v>
      </c>
      <c r="F111" s="509" t="s">
        <v>563</v>
      </c>
      <c r="G111" s="515" t="s">
        <v>632</v>
      </c>
      <c r="H111" s="509" t="s">
        <v>238</v>
      </c>
      <c r="I111" s="509" t="s">
        <v>238</v>
      </c>
      <c r="J111" s="509" t="s">
        <v>238</v>
      </c>
      <c r="K111" s="509" t="s">
        <v>238</v>
      </c>
      <c r="L111" s="514">
        <v>96</v>
      </c>
      <c r="M111" s="522"/>
      <c r="N111" s="489"/>
      <c r="O111" s="489"/>
      <c r="P111" s="489"/>
      <c r="Q111" s="489"/>
      <c r="R111" s="489"/>
      <c r="T111" s="489"/>
    </row>
    <row r="112" spans="1:20" hidden="1" outlineLevel="1" x14ac:dyDescent="0.25">
      <c r="A112" s="489"/>
      <c r="B112" s="489"/>
      <c r="C112" s="509" t="s">
        <v>552</v>
      </c>
      <c r="D112" s="509" t="s">
        <v>556</v>
      </c>
      <c r="E112" s="509" t="s">
        <v>606</v>
      </c>
      <c r="F112" s="509" t="s">
        <v>563</v>
      </c>
      <c r="G112" s="515" t="s">
        <v>633</v>
      </c>
      <c r="H112" s="509" t="s">
        <v>238</v>
      </c>
      <c r="I112" s="509" t="s">
        <v>238</v>
      </c>
      <c r="J112" s="509" t="s">
        <v>238</v>
      </c>
      <c r="K112" s="509" t="s">
        <v>238</v>
      </c>
      <c r="L112" s="514">
        <v>97</v>
      </c>
      <c r="M112" s="522"/>
      <c r="N112" s="489"/>
      <c r="O112" s="489"/>
      <c r="P112" s="489"/>
      <c r="Q112" s="489"/>
      <c r="R112" s="489"/>
      <c r="T112" s="489"/>
    </row>
    <row r="113" spans="1:20" hidden="1" outlineLevel="1" x14ac:dyDescent="0.25">
      <c r="A113" s="489"/>
      <c r="B113" s="489"/>
      <c r="C113" s="509" t="s">
        <v>552</v>
      </c>
      <c r="D113" s="509" t="s">
        <v>558</v>
      </c>
      <c r="E113" s="509" t="s">
        <v>606</v>
      </c>
      <c r="F113" s="509" t="s">
        <v>563</v>
      </c>
      <c r="G113" s="515" t="s">
        <v>634</v>
      </c>
      <c r="H113" s="509" t="s">
        <v>238</v>
      </c>
      <c r="I113" s="509" t="s">
        <v>238</v>
      </c>
      <c r="J113" s="509" t="s">
        <v>238</v>
      </c>
      <c r="K113" s="509" t="s">
        <v>238</v>
      </c>
      <c r="L113" s="514">
        <v>98</v>
      </c>
      <c r="M113" s="522"/>
      <c r="N113" s="489"/>
      <c r="O113" s="489"/>
      <c r="P113" s="489"/>
      <c r="Q113" s="489"/>
      <c r="R113" s="489"/>
      <c r="T113" s="489"/>
    </row>
    <row r="114" spans="1:20" hidden="1" outlineLevel="1" x14ac:dyDescent="0.25">
      <c r="A114" s="489"/>
      <c r="B114" s="489"/>
      <c r="C114" s="509" t="s">
        <v>555</v>
      </c>
      <c r="D114" s="509" t="s">
        <v>540</v>
      </c>
      <c r="E114" s="509" t="s">
        <v>606</v>
      </c>
      <c r="F114" s="509" t="s">
        <v>563</v>
      </c>
      <c r="G114" s="515" t="s">
        <v>635</v>
      </c>
      <c r="H114" s="509" t="s">
        <v>238</v>
      </c>
      <c r="I114" s="509" t="s">
        <v>238</v>
      </c>
      <c r="J114" s="509" t="s">
        <v>238</v>
      </c>
      <c r="K114" s="509" t="s">
        <v>238</v>
      </c>
      <c r="L114" s="514">
        <v>120</v>
      </c>
      <c r="M114" s="522"/>
      <c r="N114" s="489"/>
      <c r="O114" s="489"/>
      <c r="P114" s="489"/>
      <c r="Q114" s="489"/>
      <c r="R114" s="489"/>
      <c r="T114" s="489"/>
    </row>
    <row r="115" spans="1:20" hidden="1" outlineLevel="1" x14ac:dyDescent="0.25">
      <c r="A115" s="489"/>
      <c r="B115" s="489"/>
      <c r="C115" s="509" t="s">
        <v>555</v>
      </c>
      <c r="D115" s="509" t="s">
        <v>544</v>
      </c>
      <c r="E115" s="509" t="s">
        <v>606</v>
      </c>
      <c r="F115" s="509" t="s">
        <v>563</v>
      </c>
      <c r="G115" s="515" t="s">
        <v>636</v>
      </c>
      <c r="H115" s="509" t="s">
        <v>238</v>
      </c>
      <c r="I115" s="509" t="s">
        <v>238</v>
      </c>
      <c r="J115" s="509" t="s">
        <v>238</v>
      </c>
      <c r="K115" s="509" t="s">
        <v>238</v>
      </c>
      <c r="L115" s="514">
        <v>121</v>
      </c>
      <c r="M115" s="522"/>
      <c r="N115" s="489"/>
      <c r="O115" s="489"/>
      <c r="P115" s="489"/>
      <c r="Q115" s="489"/>
      <c r="R115" s="489"/>
      <c r="T115" s="489"/>
    </row>
    <row r="116" spans="1:20" hidden="1" outlineLevel="1" x14ac:dyDescent="0.25">
      <c r="A116" s="489"/>
      <c r="B116" s="489"/>
      <c r="C116" s="509" t="s">
        <v>555</v>
      </c>
      <c r="D116" s="509" t="s">
        <v>547</v>
      </c>
      <c r="E116" s="509" t="s">
        <v>606</v>
      </c>
      <c r="F116" s="509" t="s">
        <v>563</v>
      </c>
      <c r="G116" s="515" t="s">
        <v>637</v>
      </c>
      <c r="H116" s="509" t="s">
        <v>238</v>
      </c>
      <c r="I116" s="509" t="s">
        <v>238</v>
      </c>
      <c r="J116" s="509" t="s">
        <v>238</v>
      </c>
      <c r="K116" s="509" t="s">
        <v>238</v>
      </c>
      <c r="L116" s="514">
        <v>122</v>
      </c>
      <c r="M116" s="522"/>
      <c r="N116" s="489"/>
      <c r="O116" s="489"/>
      <c r="P116" s="489"/>
      <c r="Q116" s="489"/>
      <c r="R116" s="489"/>
      <c r="T116" s="489"/>
    </row>
    <row r="117" spans="1:20" hidden="1" outlineLevel="1" x14ac:dyDescent="0.25">
      <c r="A117" s="489"/>
      <c r="B117" s="489"/>
      <c r="C117" s="509" t="s">
        <v>555</v>
      </c>
      <c r="D117" s="509" t="s">
        <v>550</v>
      </c>
      <c r="E117" s="509" t="s">
        <v>606</v>
      </c>
      <c r="F117" s="509" t="s">
        <v>563</v>
      </c>
      <c r="G117" s="515" t="s">
        <v>638</v>
      </c>
      <c r="H117" s="509" t="s">
        <v>238</v>
      </c>
      <c r="I117" s="509" t="s">
        <v>238</v>
      </c>
      <c r="J117" s="509" t="s">
        <v>238</v>
      </c>
      <c r="K117" s="509" t="s">
        <v>238</v>
      </c>
      <c r="L117" s="514">
        <v>123</v>
      </c>
      <c r="M117" s="522"/>
      <c r="N117" s="489"/>
      <c r="O117" s="489"/>
      <c r="P117" s="489"/>
      <c r="Q117" s="489"/>
      <c r="R117" s="489"/>
      <c r="T117" s="489"/>
    </row>
    <row r="118" spans="1:20" hidden="1" outlineLevel="1" x14ac:dyDescent="0.25">
      <c r="A118" s="489"/>
      <c r="B118" s="489"/>
      <c r="C118" s="509" t="s">
        <v>555</v>
      </c>
      <c r="D118" s="509" t="s">
        <v>554</v>
      </c>
      <c r="E118" s="509" t="s">
        <v>606</v>
      </c>
      <c r="F118" s="509" t="s">
        <v>563</v>
      </c>
      <c r="G118" s="515" t="s">
        <v>639</v>
      </c>
      <c r="H118" s="509" t="s">
        <v>238</v>
      </c>
      <c r="I118" s="509" t="s">
        <v>238</v>
      </c>
      <c r="J118" s="509" t="s">
        <v>238</v>
      </c>
      <c r="K118" s="509" t="s">
        <v>238</v>
      </c>
      <c r="L118" s="514">
        <v>124</v>
      </c>
      <c r="M118" s="522"/>
      <c r="N118" s="489"/>
      <c r="O118" s="489"/>
      <c r="P118" s="489"/>
      <c r="Q118" s="489"/>
      <c r="R118" s="489"/>
      <c r="T118" s="489"/>
    </row>
    <row r="119" spans="1:20" hidden="1" outlineLevel="1" x14ac:dyDescent="0.25">
      <c r="A119" s="489"/>
      <c r="B119" s="489"/>
      <c r="C119" s="509" t="s">
        <v>555</v>
      </c>
      <c r="D119" s="509" t="s">
        <v>556</v>
      </c>
      <c r="E119" s="509" t="s">
        <v>606</v>
      </c>
      <c r="F119" s="509" t="s">
        <v>563</v>
      </c>
      <c r="G119" s="515" t="s">
        <v>640</v>
      </c>
      <c r="H119" s="509" t="s">
        <v>238</v>
      </c>
      <c r="I119" s="509" t="s">
        <v>238</v>
      </c>
      <c r="J119" s="509" t="s">
        <v>238</v>
      </c>
      <c r="K119" s="509" t="s">
        <v>238</v>
      </c>
      <c r="L119" s="514">
        <v>125</v>
      </c>
      <c r="M119" s="522"/>
      <c r="N119" s="489"/>
      <c r="O119" s="489"/>
      <c r="P119" s="489"/>
      <c r="Q119" s="489"/>
      <c r="R119" s="489"/>
      <c r="T119" s="489"/>
    </row>
    <row r="120" spans="1:20" hidden="1" outlineLevel="1" x14ac:dyDescent="0.25">
      <c r="A120" s="489"/>
      <c r="B120" s="489"/>
      <c r="C120" s="509" t="s">
        <v>555</v>
      </c>
      <c r="D120" s="509" t="s">
        <v>558</v>
      </c>
      <c r="E120" s="509" t="s">
        <v>606</v>
      </c>
      <c r="F120" s="509" t="s">
        <v>563</v>
      </c>
      <c r="G120" s="515" t="s">
        <v>641</v>
      </c>
      <c r="H120" s="509" t="s">
        <v>238</v>
      </c>
      <c r="I120" s="509" t="s">
        <v>238</v>
      </c>
      <c r="J120" s="509" t="s">
        <v>238</v>
      </c>
      <c r="K120" s="509" t="s">
        <v>238</v>
      </c>
      <c r="L120" s="514">
        <v>126</v>
      </c>
      <c r="M120" s="522"/>
      <c r="N120" s="489"/>
      <c r="O120" s="489"/>
      <c r="P120" s="489"/>
      <c r="Q120" s="489"/>
      <c r="R120" s="489"/>
      <c r="T120" s="489"/>
    </row>
    <row r="121" spans="1:20" hidden="1" outlineLevel="1" x14ac:dyDescent="0.25">
      <c r="A121" s="489"/>
      <c r="B121" s="489"/>
      <c r="C121" s="509" t="s">
        <v>557</v>
      </c>
      <c r="D121" s="509" t="s">
        <v>540</v>
      </c>
      <c r="E121" s="509" t="s">
        <v>606</v>
      </c>
      <c r="F121" s="509" t="s">
        <v>563</v>
      </c>
      <c r="G121" s="515" t="s">
        <v>642</v>
      </c>
      <c r="H121" s="509" t="s">
        <v>238</v>
      </c>
      <c r="I121" s="509" t="s">
        <v>238</v>
      </c>
      <c r="J121" s="509" t="s">
        <v>238</v>
      </c>
      <c r="K121" s="509" t="s">
        <v>238</v>
      </c>
      <c r="L121" s="514">
        <v>148</v>
      </c>
      <c r="M121" s="522"/>
      <c r="N121" s="489"/>
      <c r="O121" s="489"/>
      <c r="P121" s="489"/>
      <c r="Q121" s="489"/>
      <c r="R121" s="489"/>
      <c r="T121" s="489"/>
    </row>
    <row r="122" spans="1:20" hidden="1" outlineLevel="1" x14ac:dyDescent="0.25">
      <c r="A122" s="489"/>
      <c r="B122" s="489"/>
      <c r="C122" s="509" t="s">
        <v>557</v>
      </c>
      <c r="D122" s="509" t="s">
        <v>544</v>
      </c>
      <c r="E122" s="509" t="s">
        <v>606</v>
      </c>
      <c r="F122" s="509" t="s">
        <v>563</v>
      </c>
      <c r="G122" s="515" t="s">
        <v>643</v>
      </c>
      <c r="H122" s="509" t="s">
        <v>238</v>
      </c>
      <c r="I122" s="509" t="s">
        <v>238</v>
      </c>
      <c r="J122" s="509" t="s">
        <v>238</v>
      </c>
      <c r="K122" s="509" t="s">
        <v>238</v>
      </c>
      <c r="L122" s="514">
        <v>149</v>
      </c>
      <c r="M122" s="522"/>
      <c r="N122" s="489"/>
      <c r="O122" s="489"/>
      <c r="P122" s="489"/>
      <c r="Q122" s="489"/>
      <c r="R122" s="489"/>
      <c r="T122" s="489"/>
    </row>
    <row r="123" spans="1:20" hidden="1" outlineLevel="1" x14ac:dyDescent="0.25">
      <c r="A123" s="489"/>
      <c r="B123" s="489"/>
      <c r="C123" s="509" t="s">
        <v>557</v>
      </c>
      <c r="D123" s="509" t="s">
        <v>547</v>
      </c>
      <c r="E123" s="509" t="s">
        <v>606</v>
      </c>
      <c r="F123" s="509" t="s">
        <v>563</v>
      </c>
      <c r="G123" s="515" t="s">
        <v>644</v>
      </c>
      <c r="H123" s="509" t="s">
        <v>238</v>
      </c>
      <c r="I123" s="509" t="s">
        <v>238</v>
      </c>
      <c r="J123" s="509" t="s">
        <v>238</v>
      </c>
      <c r="K123" s="509" t="s">
        <v>238</v>
      </c>
      <c r="L123" s="514">
        <v>150</v>
      </c>
      <c r="M123" s="522"/>
      <c r="N123" s="489"/>
      <c r="O123" s="489"/>
      <c r="P123" s="489"/>
      <c r="Q123" s="489"/>
      <c r="R123" s="489"/>
      <c r="T123" s="489"/>
    </row>
    <row r="124" spans="1:20" hidden="1" outlineLevel="1" x14ac:dyDescent="0.25">
      <c r="A124" s="489"/>
      <c r="B124" s="489"/>
      <c r="C124" s="509" t="s">
        <v>557</v>
      </c>
      <c r="D124" s="509" t="s">
        <v>550</v>
      </c>
      <c r="E124" s="509" t="s">
        <v>606</v>
      </c>
      <c r="F124" s="509" t="s">
        <v>563</v>
      </c>
      <c r="G124" s="515" t="s">
        <v>645</v>
      </c>
      <c r="H124" s="509" t="s">
        <v>238</v>
      </c>
      <c r="I124" s="509" t="s">
        <v>238</v>
      </c>
      <c r="J124" s="509" t="s">
        <v>238</v>
      </c>
      <c r="K124" s="509" t="s">
        <v>238</v>
      </c>
      <c r="L124" s="514">
        <v>151</v>
      </c>
      <c r="M124" s="522"/>
      <c r="N124" s="489"/>
      <c r="O124" s="489"/>
      <c r="P124" s="489"/>
      <c r="Q124" s="489"/>
      <c r="R124" s="489"/>
      <c r="T124" s="489"/>
    </row>
    <row r="125" spans="1:20" hidden="1" outlineLevel="1" x14ac:dyDescent="0.25">
      <c r="A125" s="489"/>
      <c r="B125" s="489"/>
      <c r="C125" s="509" t="s">
        <v>557</v>
      </c>
      <c r="D125" s="509" t="s">
        <v>554</v>
      </c>
      <c r="E125" s="509" t="s">
        <v>606</v>
      </c>
      <c r="F125" s="509" t="s">
        <v>563</v>
      </c>
      <c r="G125" s="515" t="s">
        <v>646</v>
      </c>
      <c r="H125" s="509" t="s">
        <v>238</v>
      </c>
      <c r="I125" s="509" t="s">
        <v>238</v>
      </c>
      <c r="J125" s="509" t="s">
        <v>238</v>
      </c>
      <c r="K125" s="509" t="s">
        <v>238</v>
      </c>
      <c r="L125" s="514">
        <v>152</v>
      </c>
      <c r="M125" s="522"/>
      <c r="N125" s="489"/>
      <c r="O125" s="489"/>
      <c r="P125" s="489"/>
      <c r="Q125" s="489"/>
      <c r="R125" s="489"/>
      <c r="T125" s="489"/>
    </row>
    <row r="126" spans="1:20" hidden="1" outlineLevel="1" x14ac:dyDescent="0.25">
      <c r="A126" s="489"/>
      <c r="B126" s="489"/>
      <c r="C126" s="509" t="s">
        <v>557</v>
      </c>
      <c r="D126" s="509" t="s">
        <v>556</v>
      </c>
      <c r="E126" s="509" t="s">
        <v>606</v>
      </c>
      <c r="F126" s="509" t="s">
        <v>563</v>
      </c>
      <c r="G126" s="515" t="s">
        <v>647</v>
      </c>
      <c r="H126" s="509" t="s">
        <v>238</v>
      </c>
      <c r="I126" s="509" t="s">
        <v>238</v>
      </c>
      <c r="J126" s="509" t="s">
        <v>238</v>
      </c>
      <c r="K126" s="509" t="s">
        <v>238</v>
      </c>
      <c r="L126" s="514">
        <v>153</v>
      </c>
      <c r="M126" s="522"/>
      <c r="N126" s="489"/>
      <c r="O126" s="489"/>
      <c r="P126" s="489"/>
      <c r="Q126" s="489"/>
      <c r="R126" s="489"/>
      <c r="T126" s="489"/>
    </row>
    <row r="127" spans="1:20" hidden="1" outlineLevel="1" x14ac:dyDescent="0.25">
      <c r="A127" s="489"/>
      <c r="B127" s="489"/>
      <c r="C127" s="509" t="s">
        <v>557</v>
      </c>
      <c r="D127" s="509" t="s">
        <v>558</v>
      </c>
      <c r="E127" s="509" t="s">
        <v>606</v>
      </c>
      <c r="F127" s="509" t="s">
        <v>563</v>
      </c>
      <c r="G127" s="515" t="s">
        <v>648</v>
      </c>
      <c r="H127" s="509" t="s">
        <v>238</v>
      </c>
      <c r="I127" s="509" t="s">
        <v>238</v>
      </c>
      <c r="J127" s="509" t="s">
        <v>238</v>
      </c>
      <c r="K127" s="509" t="s">
        <v>238</v>
      </c>
      <c r="L127" s="514">
        <v>154</v>
      </c>
      <c r="M127" s="522"/>
      <c r="N127" s="489"/>
      <c r="O127" s="489"/>
      <c r="P127" s="489"/>
      <c r="Q127" s="489"/>
      <c r="R127" s="489"/>
      <c r="T127" s="489"/>
    </row>
    <row r="128" spans="1:20" hidden="1" outlineLevel="1" x14ac:dyDescent="0.25">
      <c r="A128" s="489"/>
      <c r="B128" s="489"/>
      <c r="C128" s="509" t="s">
        <v>542</v>
      </c>
      <c r="D128" s="509" t="s">
        <v>540</v>
      </c>
      <c r="E128" s="509" t="s">
        <v>562</v>
      </c>
      <c r="F128" s="509" t="s">
        <v>649</v>
      </c>
      <c r="G128" s="515" t="s">
        <v>650</v>
      </c>
      <c r="H128" s="509" t="s">
        <v>238</v>
      </c>
      <c r="I128" s="509" t="s">
        <v>238</v>
      </c>
      <c r="J128" s="509" t="s">
        <v>238</v>
      </c>
      <c r="K128" s="509" t="s">
        <v>238</v>
      </c>
      <c r="L128" s="514">
        <v>15</v>
      </c>
      <c r="M128" s="522"/>
      <c r="N128" s="489"/>
      <c r="O128" s="489"/>
      <c r="P128" s="489"/>
      <c r="Q128" s="489"/>
      <c r="R128" s="489"/>
      <c r="T128" s="489"/>
    </row>
    <row r="129" spans="1:20" hidden="1" outlineLevel="1" x14ac:dyDescent="0.25">
      <c r="A129" s="489"/>
      <c r="B129" s="489"/>
      <c r="C129" s="509" t="s">
        <v>542</v>
      </c>
      <c r="D129" s="509" t="s">
        <v>544</v>
      </c>
      <c r="E129" s="509" t="s">
        <v>562</v>
      </c>
      <c r="F129" s="509" t="s">
        <v>649</v>
      </c>
      <c r="G129" s="515" t="s">
        <v>651</v>
      </c>
      <c r="H129" s="509" t="s">
        <v>238</v>
      </c>
      <c r="I129" s="509" t="s">
        <v>238</v>
      </c>
      <c r="J129" s="509" t="s">
        <v>238</v>
      </c>
      <c r="K129" s="509" t="s">
        <v>238</v>
      </c>
      <c r="L129" s="514">
        <v>16</v>
      </c>
      <c r="M129" s="522"/>
      <c r="N129" s="489"/>
      <c r="O129" s="489"/>
      <c r="P129" s="489"/>
      <c r="Q129" s="489"/>
      <c r="R129" s="489"/>
      <c r="T129" s="489"/>
    </row>
    <row r="130" spans="1:20" hidden="1" outlineLevel="1" x14ac:dyDescent="0.25">
      <c r="A130" s="489"/>
      <c r="B130" s="489"/>
      <c r="C130" s="509" t="s">
        <v>542</v>
      </c>
      <c r="D130" s="509" t="s">
        <v>547</v>
      </c>
      <c r="E130" s="509" t="s">
        <v>562</v>
      </c>
      <c r="F130" s="509" t="s">
        <v>649</v>
      </c>
      <c r="G130" s="515" t="s">
        <v>652</v>
      </c>
      <c r="H130" s="509" t="s">
        <v>238</v>
      </c>
      <c r="I130" s="509" t="s">
        <v>238</v>
      </c>
      <c r="J130" s="509" t="s">
        <v>238</v>
      </c>
      <c r="K130" s="509" t="s">
        <v>238</v>
      </c>
      <c r="L130" s="514">
        <v>17</v>
      </c>
      <c r="M130" s="522"/>
      <c r="N130" s="489"/>
      <c r="O130" s="489"/>
      <c r="P130" s="489"/>
      <c r="Q130" s="489"/>
      <c r="R130" s="489"/>
      <c r="T130" s="489"/>
    </row>
    <row r="131" spans="1:20" hidden="1" outlineLevel="1" x14ac:dyDescent="0.25">
      <c r="A131" s="489"/>
      <c r="B131" s="489"/>
      <c r="C131" s="509" t="s">
        <v>542</v>
      </c>
      <c r="D131" s="509" t="s">
        <v>550</v>
      </c>
      <c r="E131" s="509" t="s">
        <v>562</v>
      </c>
      <c r="F131" s="509" t="s">
        <v>649</v>
      </c>
      <c r="G131" s="515" t="s">
        <v>653</v>
      </c>
      <c r="H131" s="509" t="s">
        <v>238</v>
      </c>
      <c r="I131" s="509" t="s">
        <v>238</v>
      </c>
      <c r="J131" s="509" t="s">
        <v>238</v>
      </c>
      <c r="K131" s="509" t="s">
        <v>238</v>
      </c>
      <c r="L131" s="514">
        <v>18</v>
      </c>
      <c r="M131" s="522"/>
      <c r="N131" s="489"/>
      <c r="O131" s="489"/>
      <c r="P131" s="489"/>
      <c r="Q131" s="489"/>
      <c r="R131" s="489"/>
      <c r="T131" s="489"/>
    </row>
    <row r="132" spans="1:20" hidden="1" outlineLevel="1" x14ac:dyDescent="0.25">
      <c r="A132" s="489"/>
      <c r="B132" s="489"/>
      <c r="C132" s="509" t="s">
        <v>542</v>
      </c>
      <c r="D132" s="509" t="s">
        <v>554</v>
      </c>
      <c r="E132" s="509" t="s">
        <v>562</v>
      </c>
      <c r="F132" s="509" t="s">
        <v>649</v>
      </c>
      <c r="G132" s="515" t="s">
        <v>654</v>
      </c>
      <c r="H132" s="509" t="s">
        <v>238</v>
      </c>
      <c r="I132" s="509" t="s">
        <v>238</v>
      </c>
      <c r="J132" s="509" t="s">
        <v>238</v>
      </c>
      <c r="K132" s="509" t="s">
        <v>238</v>
      </c>
      <c r="L132" s="514">
        <v>19</v>
      </c>
      <c r="M132" s="522"/>
      <c r="N132" s="489"/>
      <c r="O132" s="489"/>
      <c r="P132" s="489"/>
      <c r="Q132" s="489"/>
      <c r="R132" s="489"/>
      <c r="T132" s="489"/>
    </row>
    <row r="133" spans="1:20" hidden="1" outlineLevel="1" x14ac:dyDescent="0.25">
      <c r="A133" s="489"/>
      <c r="B133" s="489"/>
      <c r="C133" s="509" t="s">
        <v>542</v>
      </c>
      <c r="D133" s="509" t="s">
        <v>556</v>
      </c>
      <c r="E133" s="509" t="s">
        <v>562</v>
      </c>
      <c r="F133" s="509" t="s">
        <v>649</v>
      </c>
      <c r="G133" s="515" t="s">
        <v>655</v>
      </c>
      <c r="H133" s="509" t="s">
        <v>238</v>
      </c>
      <c r="I133" s="509" t="s">
        <v>238</v>
      </c>
      <c r="J133" s="509" t="s">
        <v>238</v>
      </c>
      <c r="K133" s="509" t="s">
        <v>238</v>
      </c>
      <c r="L133" s="514">
        <v>20</v>
      </c>
      <c r="M133" s="522"/>
      <c r="N133" s="489"/>
      <c r="O133" s="489"/>
      <c r="P133" s="489"/>
      <c r="Q133" s="489"/>
      <c r="R133" s="489"/>
      <c r="T133" s="489"/>
    </row>
    <row r="134" spans="1:20" hidden="1" outlineLevel="1" x14ac:dyDescent="0.25">
      <c r="A134" s="489"/>
      <c r="B134" s="489"/>
      <c r="C134" s="509" t="s">
        <v>542</v>
      </c>
      <c r="D134" s="509" t="s">
        <v>558</v>
      </c>
      <c r="E134" s="509" t="s">
        <v>562</v>
      </c>
      <c r="F134" s="509" t="s">
        <v>649</v>
      </c>
      <c r="G134" s="515" t="s">
        <v>656</v>
      </c>
      <c r="H134" s="509" t="s">
        <v>238</v>
      </c>
      <c r="I134" s="509" t="s">
        <v>238</v>
      </c>
      <c r="J134" s="509" t="s">
        <v>238</v>
      </c>
      <c r="K134" s="509" t="s">
        <v>238</v>
      </c>
      <c r="L134" s="514">
        <v>21</v>
      </c>
      <c r="M134" s="522"/>
      <c r="N134" s="489"/>
      <c r="O134" s="489"/>
      <c r="P134" s="489"/>
      <c r="Q134" s="489"/>
      <c r="R134" s="489"/>
      <c r="T134" s="489"/>
    </row>
    <row r="135" spans="1:20" hidden="1" outlineLevel="1" x14ac:dyDescent="0.25">
      <c r="A135" s="489"/>
      <c r="B135" s="489"/>
      <c r="C135" s="493" t="s">
        <v>546</v>
      </c>
      <c r="D135" s="510" t="s">
        <v>540</v>
      </c>
      <c r="E135" s="510" t="s">
        <v>562</v>
      </c>
      <c r="F135" s="510" t="s">
        <v>649</v>
      </c>
      <c r="G135" s="515" t="s">
        <v>657</v>
      </c>
      <c r="H135" s="493">
        <v>0.63</v>
      </c>
      <c r="I135" s="493">
        <v>71</v>
      </c>
      <c r="J135" s="511">
        <v>1.9</v>
      </c>
      <c r="K135" s="511">
        <v>4.5999999999999996</v>
      </c>
      <c r="L135" s="514">
        <v>43</v>
      </c>
      <c r="M135" s="522"/>
      <c r="N135" s="489"/>
      <c r="O135" s="489"/>
      <c r="P135" s="489"/>
      <c r="Q135" s="489"/>
      <c r="R135" s="489"/>
      <c r="T135" s="489"/>
    </row>
    <row r="136" spans="1:20" hidden="1" outlineLevel="1" x14ac:dyDescent="0.25">
      <c r="A136" s="489"/>
      <c r="B136" s="489"/>
      <c r="C136" s="493" t="s">
        <v>546</v>
      </c>
      <c r="D136" s="510" t="s">
        <v>544</v>
      </c>
      <c r="E136" s="510" t="s">
        <v>562</v>
      </c>
      <c r="F136" s="510" t="s">
        <v>649</v>
      </c>
      <c r="G136" s="515" t="s">
        <v>658</v>
      </c>
      <c r="H136" s="493">
        <v>0.67</v>
      </c>
      <c r="I136" s="493">
        <v>85</v>
      </c>
      <c r="J136" s="511">
        <v>2.2999999999999998</v>
      </c>
      <c r="K136" s="511">
        <v>5.7</v>
      </c>
      <c r="L136" s="514">
        <v>44</v>
      </c>
      <c r="M136" s="522"/>
      <c r="N136" s="489"/>
      <c r="O136" s="489"/>
      <c r="P136" s="489"/>
      <c r="Q136" s="489"/>
      <c r="R136" s="489"/>
      <c r="T136" s="489"/>
    </row>
    <row r="137" spans="1:20" hidden="1" outlineLevel="1" x14ac:dyDescent="0.25">
      <c r="A137" s="489"/>
      <c r="B137" s="489"/>
      <c r="C137" s="493" t="s">
        <v>546</v>
      </c>
      <c r="D137" s="510" t="s">
        <v>547</v>
      </c>
      <c r="E137" s="510" t="s">
        <v>562</v>
      </c>
      <c r="F137" s="510" t="s">
        <v>649</v>
      </c>
      <c r="G137" s="515" t="s">
        <v>659</v>
      </c>
      <c r="H137" s="493">
        <v>0.71</v>
      </c>
      <c r="I137" s="493">
        <v>99</v>
      </c>
      <c r="J137" s="511">
        <v>2.7</v>
      </c>
      <c r="K137" s="511">
        <v>6.8</v>
      </c>
      <c r="L137" s="514">
        <v>45</v>
      </c>
      <c r="M137" s="522"/>
      <c r="N137" s="489"/>
      <c r="O137" s="489"/>
      <c r="P137" s="489"/>
      <c r="Q137" s="489"/>
      <c r="R137" s="489"/>
      <c r="T137" s="489"/>
    </row>
    <row r="138" spans="1:20" hidden="1" outlineLevel="1" x14ac:dyDescent="0.25">
      <c r="A138" s="489"/>
      <c r="B138" s="489"/>
      <c r="C138" s="493" t="s">
        <v>546</v>
      </c>
      <c r="D138" s="510" t="s">
        <v>550</v>
      </c>
      <c r="E138" s="510" t="s">
        <v>562</v>
      </c>
      <c r="F138" s="510" t="s">
        <v>649</v>
      </c>
      <c r="G138" s="515" t="s">
        <v>660</v>
      </c>
      <c r="H138" s="493">
        <v>0.75</v>
      </c>
      <c r="I138" s="493">
        <v>113</v>
      </c>
      <c r="J138" s="511">
        <v>3</v>
      </c>
      <c r="K138" s="511">
        <v>8</v>
      </c>
      <c r="L138" s="514">
        <v>46</v>
      </c>
      <c r="M138" s="522"/>
      <c r="N138" s="489"/>
      <c r="O138" s="489"/>
      <c r="P138" s="489"/>
      <c r="Q138" s="489"/>
      <c r="R138" s="489"/>
      <c r="T138" s="489"/>
    </row>
    <row r="139" spans="1:20" hidden="1" outlineLevel="1" x14ac:dyDescent="0.25">
      <c r="A139" s="489"/>
      <c r="B139" s="489"/>
      <c r="C139" s="509" t="s">
        <v>546</v>
      </c>
      <c r="D139" s="509" t="s">
        <v>554</v>
      </c>
      <c r="E139" s="509" t="s">
        <v>562</v>
      </c>
      <c r="F139" s="509" t="s">
        <v>649</v>
      </c>
      <c r="G139" s="515" t="s">
        <v>661</v>
      </c>
      <c r="H139" s="509" t="s">
        <v>238</v>
      </c>
      <c r="I139" s="509" t="s">
        <v>238</v>
      </c>
      <c r="J139" s="509" t="s">
        <v>238</v>
      </c>
      <c r="K139" s="509" t="s">
        <v>238</v>
      </c>
      <c r="L139" s="514">
        <v>47</v>
      </c>
      <c r="M139" s="522"/>
      <c r="N139" s="489"/>
      <c r="O139" s="489"/>
      <c r="P139" s="489"/>
      <c r="Q139" s="489"/>
      <c r="R139" s="489"/>
      <c r="T139" s="489"/>
    </row>
    <row r="140" spans="1:20" hidden="1" outlineLevel="1" x14ac:dyDescent="0.25">
      <c r="A140" s="489"/>
      <c r="B140" s="489"/>
      <c r="C140" s="509" t="s">
        <v>546</v>
      </c>
      <c r="D140" s="509" t="s">
        <v>556</v>
      </c>
      <c r="E140" s="509" t="s">
        <v>562</v>
      </c>
      <c r="F140" s="509" t="s">
        <v>649</v>
      </c>
      <c r="G140" s="515" t="s">
        <v>662</v>
      </c>
      <c r="H140" s="509" t="s">
        <v>238</v>
      </c>
      <c r="I140" s="509" t="s">
        <v>238</v>
      </c>
      <c r="J140" s="509" t="s">
        <v>238</v>
      </c>
      <c r="K140" s="509" t="s">
        <v>238</v>
      </c>
      <c r="L140" s="514">
        <v>48</v>
      </c>
      <c r="M140" s="522"/>
      <c r="N140" s="489"/>
      <c r="O140" s="489"/>
      <c r="P140" s="489"/>
      <c r="Q140" s="489"/>
      <c r="R140" s="489"/>
      <c r="T140" s="489"/>
    </row>
    <row r="141" spans="1:20" hidden="1" outlineLevel="1" x14ac:dyDescent="0.25">
      <c r="A141" s="489"/>
      <c r="B141" s="489"/>
      <c r="C141" s="509" t="s">
        <v>546</v>
      </c>
      <c r="D141" s="509" t="s">
        <v>558</v>
      </c>
      <c r="E141" s="509" t="s">
        <v>562</v>
      </c>
      <c r="F141" s="509" t="s">
        <v>649</v>
      </c>
      <c r="G141" s="515" t="s">
        <v>663</v>
      </c>
      <c r="H141" s="509" t="s">
        <v>238</v>
      </c>
      <c r="I141" s="509" t="s">
        <v>238</v>
      </c>
      <c r="J141" s="509" t="s">
        <v>238</v>
      </c>
      <c r="K141" s="509" t="s">
        <v>238</v>
      </c>
      <c r="L141" s="514">
        <v>49</v>
      </c>
      <c r="M141" s="522"/>
      <c r="N141" s="489"/>
      <c r="O141" s="489"/>
      <c r="P141" s="489"/>
      <c r="Q141" s="489"/>
      <c r="R141" s="489"/>
      <c r="T141" s="489"/>
    </row>
    <row r="142" spans="1:20" hidden="1" outlineLevel="1" x14ac:dyDescent="0.25">
      <c r="A142" s="489"/>
      <c r="B142" s="489"/>
      <c r="C142" s="493" t="s">
        <v>549</v>
      </c>
      <c r="D142" s="510" t="s">
        <v>540</v>
      </c>
      <c r="E142" s="510" t="s">
        <v>562</v>
      </c>
      <c r="F142" s="510" t="s">
        <v>649</v>
      </c>
      <c r="G142" s="515" t="s">
        <v>664</v>
      </c>
      <c r="H142" s="493">
        <v>0.75</v>
      </c>
      <c r="I142" s="493">
        <v>73</v>
      </c>
      <c r="J142" s="493">
        <v>2.2000000000000002</v>
      </c>
      <c r="K142" s="493">
        <v>5.2</v>
      </c>
      <c r="L142" s="514">
        <v>71</v>
      </c>
      <c r="M142" s="522"/>
      <c r="N142" s="489"/>
      <c r="O142" s="489"/>
      <c r="P142" s="489"/>
      <c r="Q142" s="489"/>
      <c r="R142" s="489"/>
      <c r="T142" s="489"/>
    </row>
    <row r="143" spans="1:20" hidden="1" outlineLevel="1" x14ac:dyDescent="0.25">
      <c r="A143" s="489"/>
      <c r="B143" s="489"/>
      <c r="C143" s="493" t="s">
        <v>549</v>
      </c>
      <c r="D143" s="510" t="s">
        <v>544</v>
      </c>
      <c r="E143" s="510" t="s">
        <v>562</v>
      </c>
      <c r="F143" s="510" t="s">
        <v>649</v>
      </c>
      <c r="G143" s="515" t="s">
        <v>665</v>
      </c>
      <c r="H143" s="493">
        <v>0.77</v>
      </c>
      <c r="I143" s="493">
        <v>86</v>
      </c>
      <c r="J143" s="493">
        <v>2.6</v>
      </c>
      <c r="K143" s="493">
        <v>6.4</v>
      </c>
      <c r="L143" s="514">
        <v>72</v>
      </c>
      <c r="M143" s="522"/>
      <c r="N143" s="489"/>
      <c r="O143" s="489"/>
      <c r="P143" s="489"/>
      <c r="Q143" s="489"/>
      <c r="R143" s="489"/>
      <c r="T143" s="489"/>
    </row>
    <row r="144" spans="1:20" hidden="1" outlineLevel="1" x14ac:dyDescent="0.25">
      <c r="A144" s="489"/>
      <c r="B144" s="489"/>
      <c r="C144" s="493" t="s">
        <v>549</v>
      </c>
      <c r="D144" s="510" t="s">
        <v>547</v>
      </c>
      <c r="E144" s="510" t="s">
        <v>562</v>
      </c>
      <c r="F144" s="510" t="s">
        <v>649</v>
      </c>
      <c r="G144" s="515" t="s">
        <v>666</v>
      </c>
      <c r="H144" s="508">
        <v>0.8</v>
      </c>
      <c r="I144" s="493">
        <v>100</v>
      </c>
      <c r="J144" s="511">
        <v>3</v>
      </c>
      <c r="K144" s="493">
        <v>7.6</v>
      </c>
      <c r="L144" s="514">
        <v>73</v>
      </c>
      <c r="M144" s="522"/>
      <c r="N144" s="489"/>
      <c r="O144" s="489"/>
      <c r="P144" s="489"/>
      <c r="Q144" s="489"/>
      <c r="R144" s="489"/>
      <c r="T144" s="489"/>
    </row>
    <row r="145" spans="1:20" hidden="1" outlineLevel="1" x14ac:dyDescent="0.25">
      <c r="A145" s="489"/>
      <c r="B145" s="489"/>
      <c r="C145" s="493" t="s">
        <v>549</v>
      </c>
      <c r="D145" s="510" t="s">
        <v>550</v>
      </c>
      <c r="E145" s="510" t="s">
        <v>562</v>
      </c>
      <c r="F145" s="510" t="s">
        <v>649</v>
      </c>
      <c r="G145" s="515" t="s">
        <v>667</v>
      </c>
      <c r="H145" s="493">
        <v>0.82</v>
      </c>
      <c r="I145" s="493">
        <v>114</v>
      </c>
      <c r="J145" s="493">
        <v>3.3</v>
      </c>
      <c r="K145" s="493">
        <v>8.9</v>
      </c>
      <c r="L145" s="514">
        <v>74</v>
      </c>
      <c r="M145" s="522"/>
      <c r="N145" s="489"/>
      <c r="O145" s="489"/>
      <c r="P145" s="489"/>
      <c r="Q145" s="489"/>
      <c r="R145" s="489"/>
      <c r="T145" s="489"/>
    </row>
    <row r="146" spans="1:20" hidden="1" outlineLevel="1" x14ac:dyDescent="0.25">
      <c r="A146" s="489"/>
      <c r="B146" s="489"/>
      <c r="C146" s="493" t="s">
        <v>549</v>
      </c>
      <c r="D146" s="510" t="s">
        <v>554</v>
      </c>
      <c r="E146" s="510" t="s">
        <v>562</v>
      </c>
      <c r="F146" s="510" t="s">
        <v>649</v>
      </c>
      <c r="G146" s="515" t="s">
        <v>668</v>
      </c>
      <c r="H146" s="493">
        <v>0.85</v>
      </c>
      <c r="I146" s="493">
        <v>127</v>
      </c>
      <c r="J146" s="493">
        <v>3.7</v>
      </c>
      <c r="K146" s="493">
        <v>10.3</v>
      </c>
      <c r="L146" s="514">
        <v>75</v>
      </c>
      <c r="M146" s="522"/>
      <c r="N146" s="489"/>
      <c r="O146" s="489"/>
      <c r="P146" s="489"/>
      <c r="Q146" s="489"/>
      <c r="R146" s="489"/>
      <c r="T146" s="489"/>
    </row>
    <row r="147" spans="1:20" hidden="1" outlineLevel="1" x14ac:dyDescent="0.25">
      <c r="A147" s="489"/>
      <c r="B147" s="489"/>
      <c r="C147" s="509" t="s">
        <v>549</v>
      </c>
      <c r="D147" s="509" t="s">
        <v>556</v>
      </c>
      <c r="E147" s="509" t="s">
        <v>562</v>
      </c>
      <c r="F147" s="509" t="s">
        <v>649</v>
      </c>
      <c r="G147" s="515" t="s">
        <v>669</v>
      </c>
      <c r="H147" s="509" t="s">
        <v>238</v>
      </c>
      <c r="I147" s="509" t="s">
        <v>238</v>
      </c>
      <c r="J147" s="509" t="s">
        <v>238</v>
      </c>
      <c r="K147" s="509" t="s">
        <v>238</v>
      </c>
      <c r="L147" s="514">
        <v>76</v>
      </c>
      <c r="M147" s="522"/>
      <c r="N147" s="489"/>
      <c r="O147" s="489"/>
      <c r="P147" s="489"/>
      <c r="Q147" s="489"/>
      <c r="R147" s="489"/>
      <c r="T147" s="489"/>
    </row>
    <row r="148" spans="1:20" hidden="1" outlineLevel="1" x14ac:dyDescent="0.25">
      <c r="A148" s="489"/>
      <c r="B148" s="489"/>
      <c r="C148" s="509" t="s">
        <v>549</v>
      </c>
      <c r="D148" s="509" t="s">
        <v>558</v>
      </c>
      <c r="E148" s="509" t="s">
        <v>562</v>
      </c>
      <c r="F148" s="509" t="s">
        <v>649</v>
      </c>
      <c r="G148" s="515" t="s">
        <v>670</v>
      </c>
      <c r="H148" s="509" t="s">
        <v>238</v>
      </c>
      <c r="I148" s="509" t="s">
        <v>238</v>
      </c>
      <c r="J148" s="509" t="s">
        <v>238</v>
      </c>
      <c r="K148" s="509" t="s">
        <v>238</v>
      </c>
      <c r="L148" s="514">
        <v>77</v>
      </c>
      <c r="M148" s="522"/>
      <c r="N148" s="489"/>
      <c r="O148" s="489"/>
      <c r="P148" s="489"/>
      <c r="Q148" s="489"/>
      <c r="R148" s="489"/>
      <c r="T148" s="489"/>
    </row>
    <row r="149" spans="1:20" hidden="1" outlineLevel="1" x14ac:dyDescent="0.25">
      <c r="A149" s="489"/>
      <c r="B149" s="489"/>
      <c r="C149" s="493" t="s">
        <v>552</v>
      </c>
      <c r="D149" s="510" t="s">
        <v>540</v>
      </c>
      <c r="E149" s="510" t="s">
        <v>562</v>
      </c>
      <c r="F149" s="510" t="s">
        <v>649</v>
      </c>
      <c r="G149" s="515" t="s">
        <v>671</v>
      </c>
      <c r="H149" s="510">
        <v>0.87</v>
      </c>
      <c r="I149" s="510">
        <v>75</v>
      </c>
      <c r="J149" s="493">
        <v>2.4</v>
      </c>
      <c r="K149" s="493">
        <v>5.8</v>
      </c>
      <c r="L149" s="514">
        <v>99</v>
      </c>
      <c r="M149" s="522"/>
      <c r="N149" s="489"/>
      <c r="O149" s="489"/>
      <c r="P149" s="489"/>
      <c r="Q149" s="489"/>
      <c r="R149" s="489"/>
      <c r="T149" s="489"/>
    </row>
    <row r="150" spans="1:20" hidden="1" outlineLevel="1" x14ac:dyDescent="0.25">
      <c r="A150" s="489"/>
      <c r="B150" s="489"/>
      <c r="C150" s="493" t="s">
        <v>552</v>
      </c>
      <c r="D150" s="510" t="s">
        <v>544</v>
      </c>
      <c r="E150" s="510" t="s">
        <v>562</v>
      </c>
      <c r="F150" s="510" t="s">
        <v>649</v>
      </c>
      <c r="G150" s="515" t="s">
        <v>672</v>
      </c>
      <c r="H150" s="510">
        <v>0.91</v>
      </c>
      <c r="I150" s="510">
        <v>88</v>
      </c>
      <c r="J150" s="493">
        <v>2.8</v>
      </c>
      <c r="K150" s="493">
        <v>7.1</v>
      </c>
      <c r="L150" s="514">
        <v>100</v>
      </c>
      <c r="M150" s="522"/>
      <c r="N150" s="489"/>
      <c r="O150" s="489"/>
      <c r="P150" s="489"/>
      <c r="Q150" s="489"/>
      <c r="R150" s="489"/>
      <c r="T150" s="489"/>
    </row>
    <row r="151" spans="1:20" hidden="1" outlineLevel="1" x14ac:dyDescent="0.25">
      <c r="A151" s="489"/>
      <c r="B151" s="489"/>
      <c r="C151" s="493" t="s">
        <v>552</v>
      </c>
      <c r="D151" s="510" t="s">
        <v>547</v>
      </c>
      <c r="E151" s="510" t="s">
        <v>562</v>
      </c>
      <c r="F151" s="510" t="s">
        <v>649</v>
      </c>
      <c r="G151" s="515" t="s">
        <v>673</v>
      </c>
      <c r="H151" s="510">
        <v>0.96</v>
      </c>
      <c r="I151" s="510">
        <v>101</v>
      </c>
      <c r="J151" s="493">
        <v>3.2</v>
      </c>
      <c r="K151" s="493">
        <v>8.5</v>
      </c>
      <c r="L151" s="514">
        <v>101</v>
      </c>
      <c r="M151" s="522"/>
      <c r="N151" s="489"/>
      <c r="O151" s="489"/>
      <c r="P151" s="489"/>
      <c r="Q151" s="489"/>
      <c r="R151" s="489"/>
      <c r="T151" s="489"/>
    </row>
    <row r="152" spans="1:20" hidden="1" outlineLevel="1" x14ac:dyDescent="0.25">
      <c r="A152" s="489"/>
      <c r="B152" s="489"/>
      <c r="C152" s="493" t="s">
        <v>552</v>
      </c>
      <c r="D152" s="510" t="s">
        <v>550</v>
      </c>
      <c r="E152" s="510" t="s">
        <v>562</v>
      </c>
      <c r="F152" s="510" t="s">
        <v>649</v>
      </c>
      <c r="G152" s="515" t="s">
        <v>674</v>
      </c>
      <c r="H152" s="510">
        <v>0.98</v>
      </c>
      <c r="I152" s="510">
        <v>114</v>
      </c>
      <c r="J152" s="493">
        <v>3.6</v>
      </c>
      <c r="K152" s="493">
        <v>9.6999999999999993</v>
      </c>
      <c r="L152" s="514">
        <v>102</v>
      </c>
      <c r="M152" s="522"/>
      <c r="N152" s="489"/>
      <c r="O152" s="489"/>
      <c r="P152" s="489"/>
      <c r="Q152" s="489"/>
      <c r="R152" s="489"/>
      <c r="T152" s="489"/>
    </row>
    <row r="153" spans="1:20" hidden="1" outlineLevel="1" x14ac:dyDescent="0.25">
      <c r="A153" s="489"/>
      <c r="B153" s="489"/>
      <c r="C153" s="493" t="s">
        <v>552</v>
      </c>
      <c r="D153" s="510" t="s">
        <v>554</v>
      </c>
      <c r="E153" s="510" t="s">
        <v>562</v>
      </c>
      <c r="F153" s="510" t="s">
        <v>649</v>
      </c>
      <c r="G153" s="515" t="s">
        <v>675</v>
      </c>
      <c r="H153" s="512">
        <v>1</v>
      </c>
      <c r="I153" s="510">
        <v>127</v>
      </c>
      <c r="J153" s="511">
        <v>4</v>
      </c>
      <c r="K153" s="493">
        <v>11.1</v>
      </c>
      <c r="L153" s="514">
        <v>103</v>
      </c>
      <c r="M153" s="522"/>
      <c r="N153" s="489"/>
      <c r="O153" s="489"/>
      <c r="P153" s="489"/>
      <c r="Q153" s="489"/>
      <c r="R153" s="489"/>
      <c r="T153" s="489"/>
    </row>
    <row r="154" spans="1:20" hidden="1" outlineLevel="1" x14ac:dyDescent="0.25">
      <c r="A154" s="489"/>
      <c r="B154" s="489"/>
      <c r="C154" s="493" t="s">
        <v>552</v>
      </c>
      <c r="D154" s="510" t="s">
        <v>556</v>
      </c>
      <c r="E154" s="510" t="s">
        <v>562</v>
      </c>
      <c r="F154" s="510" t="s">
        <v>649</v>
      </c>
      <c r="G154" s="515" t="s">
        <v>676</v>
      </c>
      <c r="H154" s="510">
        <v>1.03</v>
      </c>
      <c r="I154" s="510">
        <v>142</v>
      </c>
      <c r="J154" s="510">
        <v>4.4000000000000004</v>
      </c>
      <c r="K154" s="510">
        <v>12.6</v>
      </c>
      <c r="L154" s="514">
        <v>104</v>
      </c>
      <c r="M154" s="522"/>
      <c r="N154" s="489"/>
      <c r="O154" s="489"/>
      <c r="P154" s="489"/>
      <c r="Q154" s="489"/>
      <c r="R154" s="489"/>
      <c r="T154" s="489"/>
    </row>
    <row r="155" spans="1:20" hidden="1" outlineLevel="1" x14ac:dyDescent="0.25">
      <c r="A155" s="489"/>
      <c r="B155" s="489"/>
      <c r="C155" s="509" t="s">
        <v>552</v>
      </c>
      <c r="D155" s="509" t="s">
        <v>558</v>
      </c>
      <c r="E155" s="509" t="s">
        <v>562</v>
      </c>
      <c r="F155" s="509" t="s">
        <v>649</v>
      </c>
      <c r="G155" s="515" t="s">
        <v>677</v>
      </c>
      <c r="H155" s="509" t="s">
        <v>238</v>
      </c>
      <c r="I155" s="509" t="s">
        <v>238</v>
      </c>
      <c r="J155" s="509" t="s">
        <v>238</v>
      </c>
      <c r="K155" s="509" t="s">
        <v>238</v>
      </c>
      <c r="L155" s="514">
        <v>105</v>
      </c>
      <c r="M155" s="522"/>
      <c r="N155" s="489"/>
      <c r="O155" s="489"/>
      <c r="P155" s="489"/>
      <c r="Q155" s="489"/>
      <c r="R155" s="489"/>
      <c r="T155" s="489"/>
    </row>
    <row r="156" spans="1:20" hidden="1" outlineLevel="1" x14ac:dyDescent="0.25">
      <c r="A156" s="489"/>
      <c r="B156" s="489"/>
      <c r="C156" s="493" t="s">
        <v>555</v>
      </c>
      <c r="D156" s="510" t="s">
        <v>540</v>
      </c>
      <c r="E156" s="510" t="s">
        <v>562</v>
      </c>
      <c r="F156" s="510" t="s">
        <v>649</v>
      </c>
      <c r="G156" s="515" t="s">
        <v>678</v>
      </c>
      <c r="H156" s="493">
        <v>0.99</v>
      </c>
      <c r="I156" s="493">
        <v>76</v>
      </c>
      <c r="J156" s="493">
        <v>2.8</v>
      </c>
      <c r="K156" s="493">
        <v>6.5</v>
      </c>
      <c r="L156" s="514">
        <v>127</v>
      </c>
      <c r="M156" s="522"/>
      <c r="N156" s="489"/>
      <c r="O156" s="489"/>
      <c r="P156" s="489"/>
      <c r="Q156" s="489"/>
      <c r="R156" s="489"/>
      <c r="T156" s="489"/>
    </row>
    <row r="157" spans="1:20" hidden="1" outlineLevel="1" x14ac:dyDescent="0.25">
      <c r="A157" s="489"/>
      <c r="B157" s="489"/>
      <c r="C157" s="493" t="s">
        <v>555</v>
      </c>
      <c r="D157" s="510" t="s">
        <v>544</v>
      </c>
      <c r="E157" s="510" t="s">
        <v>562</v>
      </c>
      <c r="F157" s="510" t="s">
        <v>649</v>
      </c>
      <c r="G157" s="515" t="s">
        <v>679</v>
      </c>
      <c r="H157" s="493">
        <v>1.05</v>
      </c>
      <c r="I157" s="493">
        <v>89</v>
      </c>
      <c r="J157" s="493">
        <v>3.2</v>
      </c>
      <c r="K157" s="511">
        <v>8</v>
      </c>
      <c r="L157" s="514">
        <v>128</v>
      </c>
      <c r="M157" s="522"/>
      <c r="N157" s="489"/>
      <c r="O157" s="489"/>
      <c r="P157" s="489"/>
      <c r="Q157" s="489"/>
      <c r="R157" s="489"/>
      <c r="T157" s="489"/>
    </row>
    <row r="158" spans="1:20" hidden="1" outlineLevel="1" x14ac:dyDescent="0.25">
      <c r="A158" s="489"/>
      <c r="B158" s="489"/>
      <c r="C158" s="493" t="s">
        <v>555</v>
      </c>
      <c r="D158" s="510" t="s">
        <v>547</v>
      </c>
      <c r="E158" s="510" t="s">
        <v>562</v>
      </c>
      <c r="F158" s="510" t="s">
        <v>649</v>
      </c>
      <c r="G158" s="515" t="s">
        <v>680</v>
      </c>
      <c r="H158" s="493">
        <v>1.1100000000000001</v>
      </c>
      <c r="I158" s="493">
        <v>101</v>
      </c>
      <c r="J158" s="493">
        <v>3.6</v>
      </c>
      <c r="K158" s="493">
        <v>9.5</v>
      </c>
      <c r="L158" s="514">
        <v>129</v>
      </c>
      <c r="M158" s="522"/>
      <c r="N158" s="489"/>
      <c r="O158" s="489"/>
      <c r="P158" s="489"/>
      <c r="Q158" s="489"/>
      <c r="R158" s="489"/>
      <c r="T158" s="489"/>
    </row>
    <row r="159" spans="1:20" hidden="1" outlineLevel="1" x14ac:dyDescent="0.25">
      <c r="A159" s="489"/>
      <c r="B159" s="489"/>
      <c r="C159" s="493" t="s">
        <v>555</v>
      </c>
      <c r="D159" s="510" t="s">
        <v>550</v>
      </c>
      <c r="E159" s="510" t="s">
        <v>562</v>
      </c>
      <c r="F159" s="510" t="s">
        <v>649</v>
      </c>
      <c r="G159" s="515" t="s">
        <v>681</v>
      </c>
      <c r="H159" s="493">
        <v>1.1399999999999999</v>
      </c>
      <c r="I159" s="493">
        <v>114</v>
      </c>
      <c r="J159" s="511">
        <v>4</v>
      </c>
      <c r="K159" s="511">
        <v>10.5</v>
      </c>
      <c r="L159" s="514">
        <v>130</v>
      </c>
      <c r="M159" s="522"/>
      <c r="N159" s="489"/>
      <c r="O159" s="489"/>
      <c r="P159" s="489"/>
      <c r="Q159" s="489"/>
      <c r="R159" s="489"/>
      <c r="T159" s="489"/>
    </row>
    <row r="160" spans="1:20" hidden="1" outlineLevel="1" x14ac:dyDescent="0.25">
      <c r="A160" s="489"/>
      <c r="B160" s="489"/>
      <c r="C160" s="493" t="s">
        <v>555</v>
      </c>
      <c r="D160" s="510" t="s">
        <v>554</v>
      </c>
      <c r="E160" s="510" t="s">
        <v>562</v>
      </c>
      <c r="F160" s="510" t="s">
        <v>649</v>
      </c>
      <c r="G160" s="515" t="s">
        <v>682</v>
      </c>
      <c r="H160" s="493">
        <v>1.1599999999999999</v>
      </c>
      <c r="I160" s="493">
        <v>126</v>
      </c>
      <c r="J160" s="493">
        <v>4.4000000000000004</v>
      </c>
      <c r="K160" s="493">
        <v>12.4</v>
      </c>
      <c r="L160" s="514">
        <v>131</v>
      </c>
      <c r="M160" s="522"/>
      <c r="N160" s="489"/>
      <c r="O160" s="489"/>
      <c r="P160" s="489"/>
      <c r="Q160" s="489"/>
      <c r="R160" s="489"/>
      <c r="T160" s="489"/>
    </row>
    <row r="161" spans="1:20" hidden="1" outlineLevel="1" x14ac:dyDescent="0.25">
      <c r="A161" s="489"/>
      <c r="B161" s="489"/>
      <c r="C161" s="493" t="s">
        <v>555</v>
      </c>
      <c r="D161" s="510" t="s">
        <v>556</v>
      </c>
      <c r="E161" s="510" t="s">
        <v>562</v>
      </c>
      <c r="F161" s="510" t="s">
        <v>649</v>
      </c>
      <c r="G161" s="515" t="s">
        <v>683</v>
      </c>
      <c r="H161" s="493">
        <v>1.18</v>
      </c>
      <c r="I161" s="493">
        <v>139</v>
      </c>
      <c r="J161" s="493">
        <v>4.8</v>
      </c>
      <c r="K161" s="493">
        <v>13.9</v>
      </c>
      <c r="L161" s="514">
        <v>132</v>
      </c>
      <c r="M161" s="522"/>
      <c r="N161" s="489"/>
      <c r="O161" s="489"/>
      <c r="P161" s="489"/>
      <c r="Q161" s="489"/>
      <c r="R161" s="489"/>
      <c r="T161" s="489"/>
    </row>
    <row r="162" spans="1:20" hidden="1" outlineLevel="1" x14ac:dyDescent="0.25">
      <c r="A162" s="489"/>
      <c r="B162" s="489"/>
      <c r="C162" s="493" t="s">
        <v>555</v>
      </c>
      <c r="D162" s="510" t="s">
        <v>558</v>
      </c>
      <c r="E162" s="510" t="s">
        <v>562</v>
      </c>
      <c r="F162" s="510" t="s">
        <v>649</v>
      </c>
      <c r="G162" s="515" t="s">
        <v>684</v>
      </c>
      <c r="H162" s="508">
        <v>1.2</v>
      </c>
      <c r="I162" s="493">
        <v>150</v>
      </c>
      <c r="J162" s="493">
        <v>5.2</v>
      </c>
      <c r="K162" s="493">
        <v>15.4</v>
      </c>
      <c r="L162" s="514">
        <v>133</v>
      </c>
      <c r="M162" s="522"/>
      <c r="N162" s="489"/>
      <c r="O162" s="489"/>
      <c r="P162" s="489"/>
      <c r="Q162" s="489"/>
      <c r="R162" s="489"/>
      <c r="T162" s="489"/>
    </row>
    <row r="163" spans="1:20" hidden="1" outlineLevel="1" x14ac:dyDescent="0.25">
      <c r="A163" s="489"/>
      <c r="B163" s="489"/>
      <c r="C163" s="509" t="s">
        <v>557</v>
      </c>
      <c r="D163" s="509" t="s">
        <v>540</v>
      </c>
      <c r="E163" s="509" t="s">
        <v>562</v>
      </c>
      <c r="F163" s="509" t="s">
        <v>649</v>
      </c>
      <c r="G163" s="515" t="s">
        <v>685</v>
      </c>
      <c r="H163" s="509" t="s">
        <v>238</v>
      </c>
      <c r="I163" s="509" t="s">
        <v>238</v>
      </c>
      <c r="J163" s="509" t="s">
        <v>238</v>
      </c>
      <c r="K163" s="509" t="s">
        <v>238</v>
      </c>
      <c r="L163" s="514">
        <v>155</v>
      </c>
      <c r="M163" s="522"/>
      <c r="N163" s="489"/>
      <c r="O163" s="489"/>
      <c r="P163" s="489"/>
      <c r="Q163" s="489"/>
      <c r="R163" s="489"/>
      <c r="T163" s="489"/>
    </row>
    <row r="164" spans="1:20" hidden="1" outlineLevel="1" x14ac:dyDescent="0.25">
      <c r="A164" s="489"/>
      <c r="B164" s="489"/>
      <c r="C164" s="493" t="s">
        <v>557</v>
      </c>
      <c r="D164" s="510" t="s">
        <v>544</v>
      </c>
      <c r="E164" s="510" t="s">
        <v>562</v>
      </c>
      <c r="F164" s="510" t="s">
        <v>649</v>
      </c>
      <c r="G164" s="515" t="s">
        <v>686</v>
      </c>
      <c r="H164" s="493">
        <v>1.18</v>
      </c>
      <c r="I164" s="493">
        <v>90</v>
      </c>
      <c r="J164" s="493">
        <v>3.5</v>
      </c>
      <c r="K164" s="511">
        <v>9</v>
      </c>
      <c r="L164" s="514">
        <v>156</v>
      </c>
      <c r="M164" s="522"/>
      <c r="N164" s="489"/>
      <c r="O164" s="489"/>
      <c r="P164" s="489"/>
      <c r="Q164" s="489"/>
      <c r="R164" s="489"/>
      <c r="T164" s="489"/>
    </row>
    <row r="165" spans="1:20" hidden="1" outlineLevel="1" x14ac:dyDescent="0.25">
      <c r="A165" s="489"/>
      <c r="B165" s="489"/>
      <c r="C165" s="493" t="s">
        <v>557</v>
      </c>
      <c r="D165" s="510" t="s">
        <v>547</v>
      </c>
      <c r="E165" s="510" t="s">
        <v>562</v>
      </c>
      <c r="F165" s="510" t="s">
        <v>649</v>
      </c>
      <c r="G165" s="515" t="s">
        <v>687</v>
      </c>
      <c r="H165" s="493">
        <v>1.27</v>
      </c>
      <c r="I165" s="493">
        <v>102</v>
      </c>
      <c r="J165" s="493">
        <v>3.9</v>
      </c>
      <c r="K165" s="511">
        <v>10.5</v>
      </c>
      <c r="L165" s="514">
        <v>157</v>
      </c>
      <c r="M165" s="522"/>
      <c r="N165" s="489"/>
      <c r="O165" s="489"/>
      <c r="P165" s="489"/>
      <c r="Q165" s="489"/>
      <c r="R165" s="489"/>
      <c r="T165" s="489"/>
    </row>
    <row r="166" spans="1:20" hidden="1" outlineLevel="1" x14ac:dyDescent="0.25">
      <c r="A166" s="489"/>
      <c r="B166" s="489"/>
      <c r="C166" s="493" t="s">
        <v>557</v>
      </c>
      <c r="D166" s="510" t="s">
        <v>550</v>
      </c>
      <c r="E166" s="510" t="s">
        <v>562</v>
      </c>
      <c r="F166" s="510" t="s">
        <v>649</v>
      </c>
      <c r="G166" s="515" t="s">
        <v>688</v>
      </c>
      <c r="H166" s="493">
        <v>1.32</v>
      </c>
      <c r="I166" s="493">
        <v>115</v>
      </c>
      <c r="J166" s="493">
        <v>4.4000000000000004</v>
      </c>
      <c r="K166" s="511">
        <v>12</v>
      </c>
      <c r="L166" s="514">
        <v>158</v>
      </c>
      <c r="M166" s="522"/>
      <c r="N166" s="489"/>
      <c r="O166" s="489"/>
      <c r="P166" s="489"/>
      <c r="Q166" s="489"/>
      <c r="R166" s="489"/>
      <c r="T166" s="489"/>
    </row>
    <row r="167" spans="1:20" hidden="1" outlineLevel="1" x14ac:dyDescent="0.25">
      <c r="A167" s="489"/>
      <c r="B167" s="489"/>
      <c r="C167" s="493" t="s">
        <v>557</v>
      </c>
      <c r="D167" s="510" t="s">
        <v>554</v>
      </c>
      <c r="E167" s="510" t="s">
        <v>562</v>
      </c>
      <c r="F167" s="510" t="s">
        <v>649</v>
      </c>
      <c r="G167" s="515" t="s">
        <v>689</v>
      </c>
      <c r="H167" s="493">
        <v>1.37</v>
      </c>
      <c r="I167" s="493">
        <v>127</v>
      </c>
      <c r="J167" s="493">
        <v>4.8</v>
      </c>
      <c r="K167" s="493">
        <v>13.6</v>
      </c>
      <c r="L167" s="514">
        <v>159</v>
      </c>
      <c r="M167" s="522"/>
      <c r="N167" s="489"/>
      <c r="O167" s="489"/>
      <c r="P167" s="489"/>
      <c r="Q167" s="489"/>
      <c r="R167" s="489"/>
      <c r="T167" s="489"/>
    </row>
    <row r="168" spans="1:20" hidden="1" outlineLevel="1" x14ac:dyDescent="0.25">
      <c r="A168" s="489"/>
      <c r="B168" s="489"/>
      <c r="C168" s="493" t="s">
        <v>557</v>
      </c>
      <c r="D168" s="510" t="s">
        <v>556</v>
      </c>
      <c r="E168" s="510" t="s">
        <v>562</v>
      </c>
      <c r="F168" s="510" t="s">
        <v>649</v>
      </c>
      <c r="G168" s="515" t="s">
        <v>690</v>
      </c>
      <c r="H168" s="493">
        <v>1.39</v>
      </c>
      <c r="I168" s="493">
        <v>140</v>
      </c>
      <c r="J168" s="493">
        <v>5.2</v>
      </c>
      <c r="K168" s="493">
        <v>15.3</v>
      </c>
      <c r="L168" s="514">
        <v>160</v>
      </c>
      <c r="M168" s="522"/>
      <c r="N168" s="489"/>
      <c r="O168" s="489"/>
      <c r="P168" s="489"/>
      <c r="Q168" s="489"/>
      <c r="R168" s="489"/>
      <c r="T168" s="489"/>
    </row>
    <row r="169" spans="1:20" hidden="1" outlineLevel="1" x14ac:dyDescent="0.25">
      <c r="A169" s="489"/>
      <c r="B169" s="489"/>
      <c r="C169" s="493" t="s">
        <v>557</v>
      </c>
      <c r="D169" s="510" t="s">
        <v>558</v>
      </c>
      <c r="E169" s="510" t="s">
        <v>562</v>
      </c>
      <c r="F169" s="510" t="s">
        <v>649</v>
      </c>
      <c r="G169" s="515" t="s">
        <v>691</v>
      </c>
      <c r="H169" s="493">
        <v>1.42</v>
      </c>
      <c r="I169" s="493">
        <v>153</v>
      </c>
      <c r="J169" s="493">
        <v>5.6</v>
      </c>
      <c r="K169" s="493">
        <v>16.8</v>
      </c>
      <c r="L169" s="514">
        <v>161</v>
      </c>
      <c r="M169" s="522"/>
      <c r="N169" s="489"/>
      <c r="O169" s="489"/>
      <c r="P169" s="489"/>
      <c r="Q169" s="489"/>
      <c r="R169" s="489"/>
      <c r="T169" s="489"/>
    </row>
    <row r="170" spans="1:20" hidden="1" outlineLevel="1" x14ac:dyDescent="0.25">
      <c r="A170" s="489"/>
      <c r="B170" s="489"/>
      <c r="C170" s="493" t="s">
        <v>542</v>
      </c>
      <c r="D170" s="493" t="s">
        <v>540</v>
      </c>
      <c r="E170" s="493" t="s">
        <v>606</v>
      </c>
      <c r="F170" s="493" t="s">
        <v>649</v>
      </c>
      <c r="G170" s="515" t="s">
        <v>692</v>
      </c>
      <c r="H170" s="493">
        <v>0.56999999999999995</v>
      </c>
      <c r="I170" s="493">
        <v>65</v>
      </c>
      <c r="J170" s="493">
        <v>1.7</v>
      </c>
      <c r="K170" s="493">
        <v>4.2</v>
      </c>
      <c r="L170" s="514">
        <v>1</v>
      </c>
      <c r="M170" s="522"/>
      <c r="N170" s="489"/>
      <c r="O170" s="489"/>
      <c r="P170" s="489"/>
      <c r="Q170" s="489"/>
      <c r="R170" s="489"/>
      <c r="T170" s="489"/>
    </row>
    <row r="171" spans="1:20" hidden="1" outlineLevel="1" x14ac:dyDescent="0.25">
      <c r="A171" s="489"/>
      <c r="B171" s="489"/>
      <c r="C171" s="493" t="s">
        <v>542</v>
      </c>
      <c r="D171" s="493" t="s">
        <v>544</v>
      </c>
      <c r="E171" s="493" t="s">
        <v>606</v>
      </c>
      <c r="F171" s="493" t="s">
        <v>649</v>
      </c>
      <c r="G171" s="515" t="s">
        <v>693</v>
      </c>
      <c r="H171" s="493">
        <v>0.57999999999999996</v>
      </c>
      <c r="I171" s="493">
        <v>78</v>
      </c>
      <c r="J171" s="493">
        <v>2.1</v>
      </c>
      <c r="K171" s="493">
        <v>5.3</v>
      </c>
      <c r="L171" s="514">
        <v>2</v>
      </c>
      <c r="M171" s="522"/>
      <c r="N171" s="489"/>
      <c r="O171" s="489"/>
      <c r="P171" s="489"/>
      <c r="Q171" s="489"/>
      <c r="R171" s="489"/>
      <c r="T171" s="489"/>
    </row>
    <row r="172" spans="1:20" hidden="1" outlineLevel="1" x14ac:dyDescent="0.25">
      <c r="A172" s="489"/>
      <c r="B172" s="489"/>
      <c r="C172" s="493" t="s">
        <v>542</v>
      </c>
      <c r="D172" s="493" t="s">
        <v>547</v>
      </c>
      <c r="E172" s="493" t="s">
        <v>606</v>
      </c>
      <c r="F172" s="493" t="s">
        <v>649</v>
      </c>
      <c r="G172" s="515" t="s">
        <v>694</v>
      </c>
      <c r="H172" s="493">
        <v>0.59</v>
      </c>
      <c r="I172" s="493">
        <v>92</v>
      </c>
      <c r="J172" s="493">
        <v>2.5</v>
      </c>
      <c r="K172" s="493">
        <v>6.4</v>
      </c>
      <c r="L172" s="514">
        <v>3</v>
      </c>
      <c r="M172" s="522"/>
      <c r="N172" s="489"/>
      <c r="O172" s="489"/>
      <c r="P172" s="489"/>
      <c r="Q172" s="489"/>
      <c r="R172" s="489"/>
      <c r="T172" s="489"/>
    </row>
    <row r="173" spans="1:20" hidden="1" outlineLevel="1" x14ac:dyDescent="0.25">
      <c r="A173" s="489"/>
      <c r="B173" s="489"/>
      <c r="C173" s="493" t="s">
        <v>542</v>
      </c>
      <c r="D173" s="493" t="s">
        <v>550</v>
      </c>
      <c r="E173" s="493" t="s">
        <v>606</v>
      </c>
      <c r="F173" s="493" t="s">
        <v>649</v>
      </c>
      <c r="G173" s="515" t="s">
        <v>695</v>
      </c>
      <c r="H173" s="508">
        <v>0.6</v>
      </c>
      <c r="I173" s="493">
        <v>108</v>
      </c>
      <c r="J173" s="493">
        <v>2.9</v>
      </c>
      <c r="K173" s="493">
        <v>7.5</v>
      </c>
      <c r="L173" s="514">
        <v>4</v>
      </c>
      <c r="M173" s="522"/>
      <c r="N173" s="489"/>
      <c r="O173" s="489"/>
      <c r="P173" s="489"/>
      <c r="Q173" s="489"/>
      <c r="R173" s="489"/>
      <c r="T173" s="489"/>
    </row>
    <row r="174" spans="1:20" hidden="1" outlineLevel="1" x14ac:dyDescent="0.25">
      <c r="A174" s="489"/>
      <c r="B174" s="489"/>
      <c r="C174" s="509" t="s">
        <v>542</v>
      </c>
      <c r="D174" s="509" t="s">
        <v>554</v>
      </c>
      <c r="E174" s="509" t="s">
        <v>606</v>
      </c>
      <c r="F174" s="509" t="s">
        <v>649</v>
      </c>
      <c r="G174" s="515" t="s">
        <v>696</v>
      </c>
      <c r="H174" s="509" t="s">
        <v>238</v>
      </c>
      <c r="I174" s="509" t="s">
        <v>238</v>
      </c>
      <c r="J174" s="509" t="s">
        <v>238</v>
      </c>
      <c r="K174" s="509" t="s">
        <v>238</v>
      </c>
      <c r="L174" s="514">
        <v>5</v>
      </c>
      <c r="M174" s="522"/>
      <c r="N174" s="489"/>
      <c r="O174" s="489"/>
      <c r="P174" s="489"/>
      <c r="Q174" s="489"/>
      <c r="R174" s="489"/>
      <c r="T174" s="489"/>
    </row>
    <row r="175" spans="1:20" hidden="1" outlineLevel="1" x14ac:dyDescent="0.25">
      <c r="A175" s="489"/>
      <c r="B175" s="489"/>
      <c r="C175" s="509" t="s">
        <v>542</v>
      </c>
      <c r="D175" s="509" t="s">
        <v>556</v>
      </c>
      <c r="E175" s="509" t="s">
        <v>606</v>
      </c>
      <c r="F175" s="509" t="s">
        <v>649</v>
      </c>
      <c r="G175" s="515" t="s">
        <v>697</v>
      </c>
      <c r="H175" s="509" t="s">
        <v>238</v>
      </c>
      <c r="I175" s="509" t="s">
        <v>238</v>
      </c>
      <c r="J175" s="509" t="s">
        <v>238</v>
      </c>
      <c r="K175" s="509" t="s">
        <v>238</v>
      </c>
      <c r="L175" s="514">
        <v>6</v>
      </c>
      <c r="M175" s="522"/>
      <c r="N175" s="489"/>
      <c r="O175" s="489"/>
      <c r="P175" s="489"/>
      <c r="Q175" s="489"/>
      <c r="R175" s="489"/>
      <c r="T175" s="489"/>
    </row>
    <row r="176" spans="1:20" hidden="1" outlineLevel="1" x14ac:dyDescent="0.25">
      <c r="A176" s="489"/>
      <c r="B176" s="489"/>
      <c r="C176" s="509" t="s">
        <v>542</v>
      </c>
      <c r="D176" s="509" t="s">
        <v>558</v>
      </c>
      <c r="E176" s="509" t="s">
        <v>606</v>
      </c>
      <c r="F176" s="509" t="s">
        <v>649</v>
      </c>
      <c r="G176" s="515" t="s">
        <v>698</v>
      </c>
      <c r="H176" s="509" t="s">
        <v>238</v>
      </c>
      <c r="I176" s="509" t="s">
        <v>238</v>
      </c>
      <c r="J176" s="509" t="s">
        <v>238</v>
      </c>
      <c r="K176" s="509" t="s">
        <v>238</v>
      </c>
      <c r="L176" s="514">
        <v>7</v>
      </c>
      <c r="M176" s="522"/>
      <c r="N176" s="489"/>
      <c r="O176" s="489"/>
      <c r="P176" s="489"/>
      <c r="Q176" s="489"/>
      <c r="R176" s="489"/>
      <c r="T176" s="489"/>
    </row>
    <row r="177" spans="1:20" hidden="1" outlineLevel="1" x14ac:dyDescent="0.25">
      <c r="A177" s="489"/>
      <c r="B177" s="489"/>
      <c r="C177" s="493" t="s">
        <v>546</v>
      </c>
      <c r="D177" s="493" t="s">
        <v>540</v>
      </c>
      <c r="E177" s="493" t="s">
        <v>606</v>
      </c>
      <c r="F177" s="493" t="s">
        <v>649</v>
      </c>
      <c r="G177" s="515" t="s">
        <v>699</v>
      </c>
      <c r="H177" s="493">
        <v>0.72</v>
      </c>
      <c r="I177" s="493">
        <v>69</v>
      </c>
      <c r="J177" s="511">
        <v>1.9</v>
      </c>
      <c r="K177" s="511">
        <v>4.5999999999999996</v>
      </c>
      <c r="L177" s="514">
        <v>29</v>
      </c>
      <c r="M177" s="522"/>
      <c r="N177" s="489"/>
      <c r="O177" s="489"/>
      <c r="P177" s="489"/>
      <c r="Q177" s="489"/>
      <c r="R177" s="489"/>
      <c r="T177" s="489"/>
    </row>
    <row r="178" spans="1:20" hidden="1" outlineLevel="1" x14ac:dyDescent="0.25">
      <c r="A178" s="489"/>
      <c r="B178" s="489"/>
      <c r="C178" s="493" t="s">
        <v>546</v>
      </c>
      <c r="D178" s="493" t="s">
        <v>544</v>
      </c>
      <c r="E178" s="493" t="s">
        <v>606</v>
      </c>
      <c r="F178" s="493" t="s">
        <v>649</v>
      </c>
      <c r="G178" s="515" t="s">
        <v>700</v>
      </c>
      <c r="H178" s="493">
        <v>0.75</v>
      </c>
      <c r="I178" s="493">
        <v>82</v>
      </c>
      <c r="J178" s="511">
        <v>2.2999999999999998</v>
      </c>
      <c r="K178" s="511">
        <v>5.7</v>
      </c>
      <c r="L178" s="514">
        <v>30</v>
      </c>
      <c r="M178" s="522"/>
      <c r="N178" s="489"/>
      <c r="O178" s="489"/>
      <c r="P178" s="489"/>
      <c r="Q178" s="489"/>
      <c r="R178" s="489"/>
      <c r="T178" s="489"/>
    </row>
    <row r="179" spans="1:20" hidden="1" outlineLevel="1" x14ac:dyDescent="0.25">
      <c r="A179" s="489"/>
      <c r="B179" s="489"/>
      <c r="C179" s="493" t="s">
        <v>546</v>
      </c>
      <c r="D179" s="510" t="s">
        <v>547</v>
      </c>
      <c r="E179" s="510" t="s">
        <v>606</v>
      </c>
      <c r="F179" s="510" t="s">
        <v>649</v>
      </c>
      <c r="G179" s="515" t="s">
        <v>701</v>
      </c>
      <c r="H179" s="493">
        <v>0.79</v>
      </c>
      <c r="I179" s="493">
        <v>96</v>
      </c>
      <c r="J179" s="511">
        <v>2.7</v>
      </c>
      <c r="K179" s="511">
        <v>6.8</v>
      </c>
      <c r="L179" s="514">
        <v>31</v>
      </c>
      <c r="M179" s="522"/>
      <c r="N179" s="489"/>
      <c r="O179" s="489"/>
      <c r="P179" s="489"/>
      <c r="Q179" s="489"/>
      <c r="R179" s="489"/>
      <c r="T179" s="489"/>
    </row>
    <row r="180" spans="1:20" hidden="1" outlineLevel="1" x14ac:dyDescent="0.25">
      <c r="A180" s="489"/>
      <c r="B180" s="489"/>
      <c r="C180" s="493" t="s">
        <v>546</v>
      </c>
      <c r="D180" s="510" t="s">
        <v>550</v>
      </c>
      <c r="E180" s="510" t="s">
        <v>606</v>
      </c>
      <c r="F180" s="510" t="s">
        <v>649</v>
      </c>
      <c r="G180" s="515" t="s">
        <v>702</v>
      </c>
      <c r="H180" s="508">
        <v>0.8</v>
      </c>
      <c r="I180" s="493">
        <v>110</v>
      </c>
      <c r="J180" s="511">
        <v>3</v>
      </c>
      <c r="K180" s="511">
        <v>8</v>
      </c>
      <c r="L180" s="514">
        <v>32</v>
      </c>
      <c r="M180" s="522"/>
      <c r="N180" s="489"/>
      <c r="O180" s="489"/>
      <c r="P180" s="489"/>
      <c r="Q180" s="489"/>
      <c r="R180" s="489"/>
      <c r="T180" s="489"/>
    </row>
    <row r="181" spans="1:20" hidden="1" outlineLevel="1" x14ac:dyDescent="0.25">
      <c r="A181" s="489"/>
      <c r="B181" s="489"/>
      <c r="C181" s="509" t="s">
        <v>546</v>
      </c>
      <c r="D181" s="509" t="s">
        <v>554</v>
      </c>
      <c r="E181" s="509" t="s">
        <v>606</v>
      </c>
      <c r="F181" s="509" t="s">
        <v>649</v>
      </c>
      <c r="G181" s="515" t="s">
        <v>703</v>
      </c>
      <c r="H181" s="509" t="s">
        <v>238</v>
      </c>
      <c r="I181" s="509" t="s">
        <v>238</v>
      </c>
      <c r="J181" s="509" t="s">
        <v>238</v>
      </c>
      <c r="K181" s="509" t="s">
        <v>238</v>
      </c>
      <c r="L181" s="514">
        <v>33</v>
      </c>
      <c r="M181" s="522"/>
      <c r="N181" s="489"/>
      <c r="O181" s="489"/>
      <c r="P181" s="489"/>
      <c r="Q181" s="489"/>
      <c r="R181" s="489"/>
      <c r="T181" s="489"/>
    </row>
    <row r="182" spans="1:20" hidden="1" outlineLevel="1" x14ac:dyDescent="0.25">
      <c r="A182" s="489"/>
      <c r="B182" s="489"/>
      <c r="C182" s="509" t="s">
        <v>546</v>
      </c>
      <c r="D182" s="509" t="s">
        <v>556</v>
      </c>
      <c r="E182" s="509" t="s">
        <v>606</v>
      </c>
      <c r="F182" s="509" t="s">
        <v>649</v>
      </c>
      <c r="G182" s="515" t="s">
        <v>704</v>
      </c>
      <c r="H182" s="509" t="s">
        <v>238</v>
      </c>
      <c r="I182" s="509" t="s">
        <v>238</v>
      </c>
      <c r="J182" s="509" t="s">
        <v>238</v>
      </c>
      <c r="K182" s="509" t="s">
        <v>238</v>
      </c>
      <c r="L182" s="514">
        <v>34</v>
      </c>
      <c r="M182" s="522"/>
      <c r="N182" s="489"/>
      <c r="O182" s="489"/>
      <c r="P182" s="489"/>
      <c r="Q182" s="489"/>
      <c r="R182" s="489"/>
      <c r="T182" s="489"/>
    </row>
    <row r="183" spans="1:20" hidden="1" outlineLevel="1" x14ac:dyDescent="0.25">
      <c r="A183" s="489"/>
      <c r="B183" s="489"/>
      <c r="C183" s="509" t="s">
        <v>546</v>
      </c>
      <c r="D183" s="509" t="s">
        <v>558</v>
      </c>
      <c r="E183" s="509" t="s">
        <v>606</v>
      </c>
      <c r="F183" s="509" t="s">
        <v>649</v>
      </c>
      <c r="G183" s="515" t="s">
        <v>705</v>
      </c>
      <c r="H183" s="509" t="s">
        <v>238</v>
      </c>
      <c r="I183" s="509" t="s">
        <v>238</v>
      </c>
      <c r="J183" s="509" t="s">
        <v>238</v>
      </c>
      <c r="K183" s="509" t="s">
        <v>238</v>
      </c>
      <c r="L183" s="514">
        <v>35</v>
      </c>
      <c r="M183" s="522"/>
      <c r="N183" s="489"/>
      <c r="O183" s="489"/>
      <c r="P183" s="489"/>
      <c r="Q183" s="489"/>
      <c r="R183" s="489"/>
      <c r="T183" s="489"/>
    </row>
    <row r="184" spans="1:20" hidden="1" outlineLevel="1" x14ac:dyDescent="0.25">
      <c r="A184" s="489"/>
      <c r="B184" s="489"/>
      <c r="C184" s="493" t="s">
        <v>549</v>
      </c>
      <c r="D184" s="493" t="s">
        <v>540</v>
      </c>
      <c r="E184" s="493" t="s">
        <v>606</v>
      </c>
      <c r="F184" s="493" t="s">
        <v>649</v>
      </c>
      <c r="G184" s="515" t="s">
        <v>706</v>
      </c>
      <c r="H184" s="493">
        <v>0.87</v>
      </c>
      <c r="I184" s="493">
        <v>71</v>
      </c>
      <c r="J184" s="493">
        <v>2.2000000000000002</v>
      </c>
      <c r="K184" s="493">
        <v>5.2</v>
      </c>
      <c r="L184" s="514">
        <v>57</v>
      </c>
      <c r="M184" s="522"/>
      <c r="N184" s="489"/>
      <c r="O184" s="489"/>
      <c r="P184" s="489"/>
      <c r="Q184" s="489"/>
      <c r="R184" s="489"/>
      <c r="T184" s="489"/>
    </row>
    <row r="185" spans="1:20" hidden="1" outlineLevel="1" x14ac:dyDescent="0.25">
      <c r="A185" s="489"/>
      <c r="B185" s="489"/>
      <c r="C185" s="493" t="s">
        <v>549</v>
      </c>
      <c r="D185" s="493" t="s">
        <v>544</v>
      </c>
      <c r="E185" s="493" t="s">
        <v>606</v>
      </c>
      <c r="F185" s="493" t="s">
        <v>649</v>
      </c>
      <c r="G185" s="515" t="s">
        <v>707</v>
      </c>
      <c r="H185" s="493">
        <v>0.93</v>
      </c>
      <c r="I185" s="493">
        <v>84</v>
      </c>
      <c r="J185" s="493">
        <v>2.6</v>
      </c>
      <c r="K185" s="493">
        <v>6.4</v>
      </c>
      <c r="L185" s="514">
        <v>58</v>
      </c>
      <c r="M185" s="522"/>
      <c r="N185" s="489"/>
      <c r="O185" s="489"/>
      <c r="P185" s="489"/>
      <c r="Q185" s="489"/>
      <c r="R185" s="489"/>
      <c r="T185" s="489"/>
    </row>
    <row r="186" spans="1:20" hidden="1" outlineLevel="1" x14ac:dyDescent="0.25">
      <c r="A186" s="489"/>
      <c r="B186" s="489"/>
      <c r="C186" s="493" t="s">
        <v>549</v>
      </c>
      <c r="D186" s="493" t="s">
        <v>547</v>
      </c>
      <c r="E186" s="493" t="s">
        <v>606</v>
      </c>
      <c r="F186" s="493" t="s">
        <v>649</v>
      </c>
      <c r="G186" s="515" t="s">
        <v>708</v>
      </c>
      <c r="H186" s="508">
        <v>1</v>
      </c>
      <c r="I186" s="493">
        <v>97</v>
      </c>
      <c r="J186" s="511">
        <v>3</v>
      </c>
      <c r="K186" s="493">
        <v>7.6</v>
      </c>
      <c r="L186" s="514">
        <v>59</v>
      </c>
      <c r="M186" s="522"/>
      <c r="N186" s="489"/>
      <c r="O186" s="489"/>
      <c r="P186" s="489"/>
      <c r="Q186" s="489"/>
      <c r="R186" s="489"/>
      <c r="T186" s="489"/>
    </row>
    <row r="187" spans="1:20" hidden="1" outlineLevel="1" x14ac:dyDescent="0.25">
      <c r="A187" s="489"/>
      <c r="B187" s="489"/>
      <c r="C187" s="493" t="s">
        <v>549</v>
      </c>
      <c r="D187" s="493" t="s">
        <v>550</v>
      </c>
      <c r="E187" s="493" t="s">
        <v>606</v>
      </c>
      <c r="F187" s="493" t="s">
        <v>649</v>
      </c>
      <c r="G187" s="515" t="s">
        <v>709</v>
      </c>
      <c r="H187" s="493">
        <v>1.03</v>
      </c>
      <c r="I187" s="493">
        <v>110</v>
      </c>
      <c r="J187" s="493">
        <v>3.3</v>
      </c>
      <c r="K187" s="493">
        <v>8.9</v>
      </c>
      <c r="L187" s="514">
        <v>60</v>
      </c>
      <c r="M187" s="522"/>
      <c r="N187" s="489"/>
      <c r="O187" s="489"/>
      <c r="P187" s="489"/>
      <c r="Q187" s="489"/>
      <c r="R187" s="489"/>
      <c r="T187" s="489"/>
    </row>
    <row r="188" spans="1:20" hidden="1" outlineLevel="1" x14ac:dyDescent="0.25">
      <c r="A188" s="489"/>
      <c r="B188" s="489"/>
      <c r="C188" s="493" t="s">
        <v>549</v>
      </c>
      <c r="D188" s="510" t="s">
        <v>554</v>
      </c>
      <c r="E188" s="510" t="s">
        <v>606</v>
      </c>
      <c r="F188" s="510" t="s">
        <v>649</v>
      </c>
      <c r="G188" s="515" t="s">
        <v>710</v>
      </c>
      <c r="H188" s="493">
        <v>1.05</v>
      </c>
      <c r="I188" s="493">
        <v>123</v>
      </c>
      <c r="J188" s="493">
        <v>3.7</v>
      </c>
      <c r="K188" s="493">
        <v>10.3</v>
      </c>
      <c r="L188" s="514">
        <v>61</v>
      </c>
      <c r="M188" s="522"/>
      <c r="N188" s="489"/>
      <c r="O188" s="489"/>
      <c r="P188" s="489"/>
      <c r="Q188" s="489"/>
      <c r="R188" s="489"/>
      <c r="T188" s="489"/>
    </row>
    <row r="189" spans="1:20" hidden="1" outlineLevel="1" x14ac:dyDescent="0.25">
      <c r="A189" s="489"/>
      <c r="B189" s="489"/>
      <c r="C189" s="509" t="s">
        <v>549</v>
      </c>
      <c r="D189" s="509" t="s">
        <v>556</v>
      </c>
      <c r="E189" s="509" t="s">
        <v>606</v>
      </c>
      <c r="F189" s="509" t="s">
        <v>649</v>
      </c>
      <c r="G189" s="515" t="s">
        <v>711</v>
      </c>
      <c r="H189" s="509" t="s">
        <v>238</v>
      </c>
      <c r="I189" s="509" t="s">
        <v>238</v>
      </c>
      <c r="J189" s="509" t="s">
        <v>238</v>
      </c>
      <c r="K189" s="509" t="s">
        <v>238</v>
      </c>
      <c r="L189" s="514">
        <v>62</v>
      </c>
      <c r="M189" s="522"/>
      <c r="N189" s="489"/>
      <c r="O189" s="489"/>
      <c r="P189" s="489"/>
      <c r="Q189" s="489"/>
      <c r="R189" s="489"/>
      <c r="T189" s="489"/>
    </row>
    <row r="190" spans="1:20" hidden="1" outlineLevel="1" x14ac:dyDescent="0.25">
      <c r="A190" s="489"/>
      <c r="B190" s="489"/>
      <c r="C190" s="509" t="s">
        <v>549</v>
      </c>
      <c r="D190" s="509" t="s">
        <v>558</v>
      </c>
      <c r="E190" s="509" t="s">
        <v>606</v>
      </c>
      <c r="F190" s="509" t="s">
        <v>649</v>
      </c>
      <c r="G190" s="515" t="s">
        <v>712</v>
      </c>
      <c r="H190" s="509" t="s">
        <v>238</v>
      </c>
      <c r="I190" s="509" t="s">
        <v>238</v>
      </c>
      <c r="J190" s="509" t="s">
        <v>238</v>
      </c>
      <c r="K190" s="509" t="s">
        <v>238</v>
      </c>
      <c r="L190" s="514">
        <v>63</v>
      </c>
      <c r="M190" s="522"/>
      <c r="N190" s="489"/>
      <c r="O190" s="489"/>
      <c r="P190" s="489"/>
      <c r="Q190" s="489"/>
      <c r="R190" s="489"/>
      <c r="T190" s="489"/>
    </row>
    <row r="191" spans="1:20" hidden="1" outlineLevel="1" x14ac:dyDescent="0.25">
      <c r="A191" s="489"/>
      <c r="B191" s="489"/>
      <c r="C191" s="493" t="s">
        <v>552</v>
      </c>
      <c r="D191" s="493" t="s">
        <v>540</v>
      </c>
      <c r="E191" s="493" t="s">
        <v>606</v>
      </c>
      <c r="F191" s="493" t="s">
        <v>649</v>
      </c>
      <c r="G191" s="515" t="s">
        <v>713</v>
      </c>
      <c r="H191" s="493">
        <v>1.01</v>
      </c>
      <c r="I191" s="493">
        <v>73</v>
      </c>
      <c r="J191" s="493">
        <v>2.4</v>
      </c>
      <c r="K191" s="493">
        <v>5.8</v>
      </c>
      <c r="L191" s="514">
        <v>85</v>
      </c>
      <c r="M191" s="522"/>
      <c r="N191" s="489"/>
      <c r="O191" s="489"/>
      <c r="P191" s="489"/>
      <c r="Q191" s="489"/>
      <c r="R191" s="489"/>
      <c r="T191" s="489"/>
    </row>
    <row r="192" spans="1:20" hidden="1" outlineLevel="1" x14ac:dyDescent="0.25">
      <c r="A192" s="489"/>
      <c r="B192" s="489"/>
      <c r="C192" s="493" t="s">
        <v>552</v>
      </c>
      <c r="D192" s="493" t="s">
        <v>544</v>
      </c>
      <c r="E192" s="493" t="s">
        <v>606</v>
      </c>
      <c r="F192" s="493" t="s">
        <v>649</v>
      </c>
      <c r="G192" s="515" t="s">
        <v>714</v>
      </c>
      <c r="H192" s="493">
        <v>1.0900000000000001</v>
      </c>
      <c r="I192" s="493">
        <v>86</v>
      </c>
      <c r="J192" s="493">
        <v>2.8</v>
      </c>
      <c r="K192" s="493">
        <v>7.1</v>
      </c>
      <c r="L192" s="514">
        <v>86</v>
      </c>
      <c r="M192" s="522"/>
      <c r="N192" s="489"/>
      <c r="O192" s="489"/>
      <c r="P192" s="489"/>
      <c r="Q192" s="489"/>
      <c r="R192" s="489"/>
      <c r="T192" s="489"/>
    </row>
    <row r="193" spans="1:20" hidden="1" outlineLevel="1" x14ac:dyDescent="0.25">
      <c r="A193" s="489"/>
      <c r="B193" s="489"/>
      <c r="C193" s="493" t="s">
        <v>552</v>
      </c>
      <c r="D193" s="493" t="s">
        <v>547</v>
      </c>
      <c r="E193" s="493" t="s">
        <v>606</v>
      </c>
      <c r="F193" s="493" t="s">
        <v>649</v>
      </c>
      <c r="G193" s="515" t="s">
        <v>715</v>
      </c>
      <c r="H193" s="493">
        <v>1.19</v>
      </c>
      <c r="I193" s="493">
        <v>98</v>
      </c>
      <c r="J193" s="493">
        <v>3.2</v>
      </c>
      <c r="K193" s="493">
        <v>8.5</v>
      </c>
      <c r="L193" s="514">
        <v>87</v>
      </c>
      <c r="M193" s="522"/>
      <c r="N193" s="489"/>
      <c r="O193" s="489"/>
      <c r="P193" s="489"/>
      <c r="Q193" s="489"/>
      <c r="R193" s="489"/>
      <c r="T193" s="489"/>
    </row>
    <row r="194" spans="1:20" hidden="1" outlineLevel="1" x14ac:dyDescent="0.25">
      <c r="A194" s="489"/>
      <c r="B194" s="489"/>
      <c r="C194" s="493" t="s">
        <v>552</v>
      </c>
      <c r="D194" s="493" t="s">
        <v>550</v>
      </c>
      <c r="E194" s="493" t="s">
        <v>606</v>
      </c>
      <c r="F194" s="493" t="s">
        <v>649</v>
      </c>
      <c r="G194" s="515" t="s">
        <v>716</v>
      </c>
      <c r="H194" s="493">
        <v>1.25</v>
      </c>
      <c r="I194" s="493">
        <v>111</v>
      </c>
      <c r="J194" s="493">
        <v>3.6</v>
      </c>
      <c r="K194" s="493">
        <v>9.6999999999999993</v>
      </c>
      <c r="L194" s="514">
        <v>88</v>
      </c>
      <c r="M194" s="522"/>
      <c r="N194" s="489"/>
      <c r="O194" s="489"/>
      <c r="P194" s="489"/>
      <c r="Q194" s="489"/>
      <c r="R194" s="489"/>
      <c r="T194" s="489"/>
    </row>
    <row r="195" spans="1:20" hidden="1" outlineLevel="1" x14ac:dyDescent="0.25">
      <c r="A195" s="489"/>
      <c r="B195" s="489"/>
      <c r="C195" s="493" t="s">
        <v>552</v>
      </c>
      <c r="D195" s="510" t="s">
        <v>554</v>
      </c>
      <c r="E195" s="510" t="s">
        <v>606</v>
      </c>
      <c r="F195" s="510" t="s">
        <v>649</v>
      </c>
      <c r="G195" s="515" t="s">
        <v>717</v>
      </c>
      <c r="H195" s="493">
        <v>1.29</v>
      </c>
      <c r="I195" s="493">
        <v>123</v>
      </c>
      <c r="J195" s="511">
        <v>4</v>
      </c>
      <c r="K195" s="493">
        <v>11.1</v>
      </c>
      <c r="L195" s="514">
        <v>89</v>
      </c>
      <c r="M195" s="522"/>
      <c r="N195" s="489"/>
      <c r="O195" s="489"/>
      <c r="P195" s="489"/>
      <c r="Q195" s="489"/>
      <c r="R195" s="489"/>
      <c r="T195" s="489"/>
    </row>
    <row r="196" spans="1:20" hidden="1" outlineLevel="1" x14ac:dyDescent="0.25">
      <c r="A196" s="489"/>
      <c r="B196" s="489"/>
      <c r="C196" s="493" t="s">
        <v>552</v>
      </c>
      <c r="D196" s="510" t="s">
        <v>556</v>
      </c>
      <c r="E196" s="510" t="s">
        <v>606</v>
      </c>
      <c r="F196" s="510" t="s">
        <v>649</v>
      </c>
      <c r="G196" s="515" t="s">
        <v>718</v>
      </c>
      <c r="H196" s="510">
        <v>1.33</v>
      </c>
      <c r="I196" s="510">
        <v>136</v>
      </c>
      <c r="J196" s="510">
        <v>4.4000000000000004</v>
      </c>
      <c r="K196" s="510">
        <v>12.6</v>
      </c>
      <c r="L196" s="514">
        <v>90</v>
      </c>
      <c r="M196" s="522"/>
      <c r="N196" s="489"/>
      <c r="O196" s="489"/>
      <c r="P196" s="489"/>
      <c r="Q196" s="489"/>
      <c r="R196" s="489"/>
      <c r="T196" s="489"/>
    </row>
    <row r="197" spans="1:20" hidden="1" outlineLevel="1" x14ac:dyDescent="0.25">
      <c r="A197" s="489"/>
      <c r="B197" s="489"/>
      <c r="C197" s="509" t="s">
        <v>552</v>
      </c>
      <c r="D197" s="509" t="s">
        <v>558</v>
      </c>
      <c r="E197" s="509" t="s">
        <v>606</v>
      </c>
      <c r="F197" s="509" t="s">
        <v>649</v>
      </c>
      <c r="G197" s="515" t="s">
        <v>719</v>
      </c>
      <c r="H197" s="509" t="s">
        <v>238</v>
      </c>
      <c r="I197" s="509" t="s">
        <v>238</v>
      </c>
      <c r="J197" s="509" t="s">
        <v>238</v>
      </c>
      <c r="K197" s="509" t="s">
        <v>238</v>
      </c>
      <c r="L197" s="514">
        <v>91</v>
      </c>
      <c r="M197" s="522"/>
      <c r="N197" s="489"/>
      <c r="O197" s="489"/>
      <c r="P197" s="489"/>
      <c r="Q197" s="489"/>
      <c r="R197" s="489"/>
      <c r="T197" s="489"/>
    </row>
    <row r="198" spans="1:20" hidden="1" outlineLevel="1" x14ac:dyDescent="0.25">
      <c r="A198" s="489"/>
      <c r="B198" s="489"/>
      <c r="C198" s="509" t="s">
        <v>555</v>
      </c>
      <c r="D198" s="509" t="s">
        <v>540</v>
      </c>
      <c r="E198" s="509" t="s">
        <v>606</v>
      </c>
      <c r="F198" s="509" t="s">
        <v>649</v>
      </c>
      <c r="G198" s="515" t="s">
        <v>720</v>
      </c>
      <c r="H198" s="509" t="s">
        <v>238</v>
      </c>
      <c r="I198" s="509" t="s">
        <v>238</v>
      </c>
      <c r="J198" s="509" t="s">
        <v>238</v>
      </c>
      <c r="K198" s="509" t="s">
        <v>238</v>
      </c>
      <c r="L198" s="514">
        <v>113</v>
      </c>
      <c r="M198" s="522"/>
      <c r="N198" s="489"/>
      <c r="O198" s="489"/>
      <c r="P198" s="489"/>
      <c r="Q198" s="489"/>
      <c r="R198" s="489"/>
      <c r="T198" s="489"/>
    </row>
    <row r="199" spans="1:20" hidden="1" outlineLevel="1" x14ac:dyDescent="0.25">
      <c r="A199" s="489"/>
      <c r="B199" s="489"/>
      <c r="C199" s="493" t="s">
        <v>555</v>
      </c>
      <c r="D199" s="493" t="s">
        <v>544</v>
      </c>
      <c r="E199" s="493" t="s">
        <v>606</v>
      </c>
      <c r="F199" s="493" t="s">
        <v>649</v>
      </c>
      <c r="G199" s="515" t="s">
        <v>721</v>
      </c>
      <c r="H199" s="493">
        <v>1.27</v>
      </c>
      <c r="I199" s="493">
        <v>87</v>
      </c>
      <c r="J199" s="493">
        <v>3.2</v>
      </c>
      <c r="K199" s="511">
        <v>8</v>
      </c>
      <c r="L199" s="514">
        <v>114</v>
      </c>
      <c r="M199" s="522"/>
      <c r="N199" s="489"/>
      <c r="O199" s="489"/>
      <c r="P199" s="489"/>
      <c r="Q199" s="489"/>
      <c r="R199" s="489"/>
      <c r="T199" s="489"/>
    </row>
    <row r="200" spans="1:20" hidden="1" outlineLevel="1" x14ac:dyDescent="0.25">
      <c r="A200" s="489"/>
      <c r="B200" s="489"/>
      <c r="C200" s="493" t="s">
        <v>555</v>
      </c>
      <c r="D200" s="493" t="s">
        <v>547</v>
      </c>
      <c r="E200" s="493" t="s">
        <v>606</v>
      </c>
      <c r="F200" s="493" t="s">
        <v>649</v>
      </c>
      <c r="G200" s="515" t="s">
        <v>722</v>
      </c>
      <c r="H200" s="493">
        <v>1.38</v>
      </c>
      <c r="I200" s="493">
        <v>99</v>
      </c>
      <c r="J200" s="493">
        <v>3.6</v>
      </c>
      <c r="K200" s="493">
        <v>9.5</v>
      </c>
      <c r="L200" s="514">
        <v>115</v>
      </c>
      <c r="M200" s="522"/>
      <c r="N200" s="489"/>
      <c r="O200" s="489"/>
      <c r="P200" s="489"/>
      <c r="Q200" s="489"/>
      <c r="R200" s="489"/>
      <c r="T200" s="489"/>
    </row>
    <row r="201" spans="1:20" hidden="1" outlineLevel="1" x14ac:dyDescent="0.25">
      <c r="A201" s="489"/>
      <c r="B201" s="489"/>
      <c r="C201" s="493" t="s">
        <v>555</v>
      </c>
      <c r="D201" s="493" t="s">
        <v>550</v>
      </c>
      <c r="E201" s="493" t="s">
        <v>606</v>
      </c>
      <c r="F201" s="493" t="s">
        <v>649</v>
      </c>
      <c r="G201" s="515" t="s">
        <v>723</v>
      </c>
      <c r="H201" s="493">
        <v>1.47</v>
      </c>
      <c r="I201" s="493">
        <v>110</v>
      </c>
      <c r="J201" s="511">
        <v>4</v>
      </c>
      <c r="K201" s="511">
        <v>10.5</v>
      </c>
      <c r="L201" s="514">
        <v>116</v>
      </c>
      <c r="M201" s="522"/>
      <c r="N201" s="489"/>
      <c r="O201" s="489"/>
      <c r="P201" s="489"/>
      <c r="Q201" s="489"/>
      <c r="R201" s="489"/>
      <c r="T201" s="489"/>
    </row>
    <row r="202" spans="1:20" hidden="1" outlineLevel="1" x14ac:dyDescent="0.25">
      <c r="A202" s="489"/>
      <c r="B202" s="489"/>
      <c r="C202" s="493" t="s">
        <v>555</v>
      </c>
      <c r="D202" s="510" t="s">
        <v>554</v>
      </c>
      <c r="E202" s="510" t="s">
        <v>606</v>
      </c>
      <c r="F202" s="510" t="s">
        <v>649</v>
      </c>
      <c r="G202" s="515" t="s">
        <v>724</v>
      </c>
      <c r="H202" s="493">
        <v>1.57</v>
      </c>
      <c r="I202" s="493">
        <v>122</v>
      </c>
      <c r="J202" s="493">
        <v>4.4000000000000004</v>
      </c>
      <c r="K202" s="493">
        <v>12.4</v>
      </c>
      <c r="L202" s="514">
        <v>117</v>
      </c>
      <c r="M202" s="522"/>
      <c r="N202" s="489"/>
      <c r="O202" s="489"/>
      <c r="P202" s="489"/>
      <c r="Q202" s="489"/>
      <c r="R202" s="489"/>
      <c r="T202" s="489"/>
    </row>
    <row r="203" spans="1:20" hidden="1" outlineLevel="1" x14ac:dyDescent="0.25">
      <c r="A203" s="489"/>
      <c r="B203" s="489"/>
      <c r="C203" s="493" t="s">
        <v>555</v>
      </c>
      <c r="D203" s="510" t="s">
        <v>556</v>
      </c>
      <c r="E203" s="510" t="s">
        <v>606</v>
      </c>
      <c r="F203" s="510" t="s">
        <v>649</v>
      </c>
      <c r="G203" s="515" t="s">
        <v>725</v>
      </c>
      <c r="H203" s="508">
        <v>1.6</v>
      </c>
      <c r="I203" s="493">
        <v>134</v>
      </c>
      <c r="J203" s="493">
        <v>4.8</v>
      </c>
      <c r="K203" s="493">
        <v>13.9</v>
      </c>
      <c r="L203" s="514">
        <v>118</v>
      </c>
      <c r="M203" s="522"/>
      <c r="N203" s="489"/>
      <c r="O203" s="489"/>
      <c r="P203" s="489"/>
      <c r="Q203" s="489"/>
      <c r="R203" s="489"/>
      <c r="T203" s="489"/>
    </row>
    <row r="204" spans="1:20" hidden="1" outlineLevel="1" x14ac:dyDescent="0.25">
      <c r="A204" s="489"/>
      <c r="B204" s="489"/>
      <c r="C204" s="509" t="s">
        <v>555</v>
      </c>
      <c r="D204" s="509" t="s">
        <v>558</v>
      </c>
      <c r="E204" s="509" t="s">
        <v>606</v>
      </c>
      <c r="F204" s="509" t="s">
        <v>649</v>
      </c>
      <c r="G204" s="515" t="s">
        <v>726</v>
      </c>
      <c r="H204" s="509" t="s">
        <v>238</v>
      </c>
      <c r="I204" s="509" t="s">
        <v>238</v>
      </c>
      <c r="J204" s="509" t="s">
        <v>238</v>
      </c>
      <c r="K204" s="509" t="s">
        <v>238</v>
      </c>
      <c r="L204" s="514">
        <v>119</v>
      </c>
      <c r="M204" s="522"/>
      <c r="N204" s="489"/>
      <c r="O204" s="489"/>
      <c r="P204" s="489"/>
      <c r="Q204" s="489"/>
      <c r="R204" s="489"/>
      <c r="T204" s="489"/>
    </row>
    <row r="205" spans="1:20" hidden="1" outlineLevel="1" x14ac:dyDescent="0.25">
      <c r="A205" s="489"/>
      <c r="B205" s="489"/>
      <c r="C205" s="509" t="s">
        <v>557</v>
      </c>
      <c r="D205" s="509" t="s">
        <v>540</v>
      </c>
      <c r="E205" s="509" t="s">
        <v>606</v>
      </c>
      <c r="F205" s="509" t="s">
        <v>649</v>
      </c>
      <c r="G205" s="515" t="s">
        <v>727</v>
      </c>
      <c r="H205" s="509" t="s">
        <v>238</v>
      </c>
      <c r="I205" s="509" t="s">
        <v>238</v>
      </c>
      <c r="J205" s="509" t="s">
        <v>238</v>
      </c>
      <c r="K205" s="509" t="s">
        <v>238</v>
      </c>
      <c r="L205" s="514">
        <v>141</v>
      </c>
      <c r="M205" s="522"/>
      <c r="N205" s="489"/>
      <c r="O205" s="489"/>
      <c r="P205" s="489"/>
      <c r="Q205" s="489"/>
      <c r="R205" s="489"/>
      <c r="T205" s="489"/>
    </row>
    <row r="206" spans="1:20" hidden="1" outlineLevel="1" x14ac:dyDescent="0.25">
      <c r="A206" s="489"/>
      <c r="B206" s="489"/>
      <c r="C206" s="509" t="s">
        <v>557</v>
      </c>
      <c r="D206" s="509" t="s">
        <v>544</v>
      </c>
      <c r="E206" s="509" t="s">
        <v>606</v>
      </c>
      <c r="F206" s="509" t="s">
        <v>649</v>
      </c>
      <c r="G206" s="515" t="s">
        <v>728</v>
      </c>
      <c r="H206" s="509" t="s">
        <v>238</v>
      </c>
      <c r="I206" s="509" t="s">
        <v>238</v>
      </c>
      <c r="J206" s="509" t="s">
        <v>238</v>
      </c>
      <c r="K206" s="509" t="s">
        <v>238</v>
      </c>
      <c r="L206" s="514">
        <v>142</v>
      </c>
      <c r="M206" s="522"/>
      <c r="N206" s="490"/>
      <c r="O206" s="490"/>
      <c r="P206" s="490"/>
      <c r="Q206" s="490"/>
      <c r="R206" s="489"/>
      <c r="T206" s="489"/>
    </row>
    <row r="207" spans="1:20" hidden="1" outlineLevel="1" x14ac:dyDescent="0.25">
      <c r="A207" s="489"/>
      <c r="B207" s="489"/>
      <c r="C207" s="509" t="s">
        <v>557</v>
      </c>
      <c r="D207" s="509" t="s">
        <v>547</v>
      </c>
      <c r="E207" s="509" t="s">
        <v>606</v>
      </c>
      <c r="F207" s="509" t="s">
        <v>649</v>
      </c>
      <c r="G207" s="515" t="s">
        <v>729</v>
      </c>
      <c r="H207" s="509" t="s">
        <v>238</v>
      </c>
      <c r="I207" s="509" t="s">
        <v>238</v>
      </c>
      <c r="J207" s="509" t="s">
        <v>238</v>
      </c>
      <c r="K207" s="509" t="s">
        <v>238</v>
      </c>
      <c r="L207" s="514">
        <v>143</v>
      </c>
      <c r="M207" s="522"/>
      <c r="N207" s="490"/>
      <c r="O207" s="490"/>
      <c r="P207" s="490"/>
      <c r="Q207" s="490"/>
      <c r="R207" s="489"/>
      <c r="T207" s="489"/>
    </row>
    <row r="208" spans="1:20" hidden="1" outlineLevel="1" x14ac:dyDescent="0.25">
      <c r="A208" s="489"/>
      <c r="B208" s="489"/>
      <c r="C208" s="509" t="s">
        <v>557</v>
      </c>
      <c r="D208" s="509" t="s">
        <v>550</v>
      </c>
      <c r="E208" s="509" t="s">
        <v>606</v>
      </c>
      <c r="F208" s="509" t="s">
        <v>649</v>
      </c>
      <c r="G208" s="515" t="s">
        <v>730</v>
      </c>
      <c r="H208" s="509" t="s">
        <v>238</v>
      </c>
      <c r="I208" s="509" t="s">
        <v>238</v>
      </c>
      <c r="J208" s="509" t="s">
        <v>238</v>
      </c>
      <c r="K208" s="509" t="s">
        <v>238</v>
      </c>
      <c r="L208" s="514">
        <v>144</v>
      </c>
      <c r="M208" s="522"/>
      <c r="N208" s="490"/>
      <c r="O208" s="490"/>
      <c r="P208" s="490"/>
      <c r="Q208" s="490"/>
      <c r="R208" s="489"/>
      <c r="T208" s="489"/>
    </row>
    <row r="209" spans="1:20" hidden="1" outlineLevel="1" x14ac:dyDescent="0.25">
      <c r="A209" s="489"/>
      <c r="B209" s="489"/>
      <c r="C209" s="509" t="s">
        <v>557</v>
      </c>
      <c r="D209" s="509" t="s">
        <v>554</v>
      </c>
      <c r="E209" s="509" t="s">
        <v>606</v>
      </c>
      <c r="F209" s="509" t="s">
        <v>649</v>
      </c>
      <c r="G209" s="515" t="s">
        <v>731</v>
      </c>
      <c r="H209" s="509" t="s">
        <v>238</v>
      </c>
      <c r="I209" s="509" t="s">
        <v>238</v>
      </c>
      <c r="J209" s="509" t="s">
        <v>238</v>
      </c>
      <c r="K209" s="509" t="s">
        <v>238</v>
      </c>
      <c r="L209" s="514">
        <v>145</v>
      </c>
      <c r="M209" s="522"/>
      <c r="N209" s="490"/>
      <c r="O209" s="490"/>
      <c r="P209" s="490"/>
      <c r="Q209" s="490"/>
      <c r="R209" s="489"/>
      <c r="T209" s="489"/>
    </row>
    <row r="210" spans="1:20" hidden="1" outlineLevel="1" x14ac:dyDescent="0.25">
      <c r="A210" s="489"/>
      <c r="B210" s="489"/>
      <c r="C210" s="509" t="s">
        <v>557</v>
      </c>
      <c r="D210" s="509" t="s">
        <v>556</v>
      </c>
      <c r="E210" s="509" t="s">
        <v>606</v>
      </c>
      <c r="F210" s="509" t="s">
        <v>649</v>
      </c>
      <c r="G210" s="515" t="s">
        <v>732</v>
      </c>
      <c r="H210" s="509" t="s">
        <v>238</v>
      </c>
      <c r="I210" s="509" t="s">
        <v>238</v>
      </c>
      <c r="J210" s="509" t="s">
        <v>238</v>
      </c>
      <c r="K210" s="509" t="s">
        <v>238</v>
      </c>
      <c r="L210" s="514">
        <v>146</v>
      </c>
      <c r="M210" s="522"/>
      <c r="N210" s="490"/>
      <c r="O210" s="490"/>
      <c r="P210" s="490"/>
      <c r="Q210" s="490"/>
      <c r="R210" s="489"/>
      <c r="T210" s="489"/>
    </row>
    <row r="211" spans="1:20" hidden="1" outlineLevel="1" x14ac:dyDescent="0.25">
      <c r="A211" s="489"/>
      <c r="B211" s="489"/>
      <c r="C211" s="509" t="s">
        <v>557</v>
      </c>
      <c r="D211" s="509" t="s">
        <v>558</v>
      </c>
      <c r="E211" s="509" t="s">
        <v>606</v>
      </c>
      <c r="F211" s="509" t="s">
        <v>649</v>
      </c>
      <c r="G211" s="515" t="s">
        <v>733</v>
      </c>
      <c r="H211" s="509" t="s">
        <v>238</v>
      </c>
      <c r="I211" s="509" t="s">
        <v>238</v>
      </c>
      <c r="J211" s="509" t="s">
        <v>238</v>
      </c>
      <c r="K211" s="509" t="s">
        <v>238</v>
      </c>
      <c r="L211" s="514">
        <v>147</v>
      </c>
      <c r="M211" s="522"/>
      <c r="N211" s="490"/>
      <c r="O211" s="490"/>
      <c r="P211" s="490"/>
      <c r="Q211" s="490"/>
      <c r="R211" s="489"/>
      <c r="T211" s="489"/>
    </row>
    <row r="212" spans="1:20" hidden="1" outlineLevel="1" x14ac:dyDescent="0.25">
      <c r="A212" s="489"/>
      <c r="B212" s="489"/>
      <c r="C212" s="490"/>
      <c r="D212" s="490"/>
      <c r="E212" s="490"/>
      <c r="F212" s="490"/>
      <c r="G212" s="490"/>
      <c r="H212" s="490"/>
      <c r="I212" s="490"/>
      <c r="J212" s="490"/>
      <c r="K212" s="490"/>
      <c r="L212" s="490"/>
      <c r="M212" s="490"/>
      <c r="N212" s="490"/>
      <c r="O212" s="490"/>
      <c r="P212" s="491"/>
      <c r="Q212" s="491"/>
      <c r="R212" s="489"/>
      <c r="T212" s="489"/>
    </row>
    <row r="213" spans="1:20" hidden="1" outlineLevel="1" x14ac:dyDescent="0.25">
      <c r="A213" s="489"/>
      <c r="B213" s="489"/>
      <c r="C213" s="490"/>
      <c r="D213" s="490"/>
      <c r="E213" s="490"/>
      <c r="F213" s="490"/>
      <c r="G213" s="490"/>
      <c r="H213" s="490"/>
      <c r="I213" s="490"/>
      <c r="J213" s="490"/>
      <c r="K213" s="490"/>
      <c r="L213" s="490"/>
      <c r="M213" s="490"/>
      <c r="N213" s="490"/>
      <c r="O213" s="490"/>
      <c r="P213" s="490"/>
      <c r="Q213" s="490"/>
      <c r="R213" s="489"/>
      <c r="T213" s="489"/>
    </row>
    <row r="214" spans="1:20" hidden="1" outlineLevel="1" x14ac:dyDescent="0.25">
      <c r="A214" s="489"/>
      <c r="B214" s="489"/>
      <c r="C214" s="490"/>
      <c r="D214" s="490"/>
      <c r="E214" s="490"/>
      <c r="F214" s="490"/>
      <c r="G214" s="490"/>
      <c r="H214" s="490"/>
      <c r="I214" s="490"/>
      <c r="J214" s="490"/>
      <c r="K214" s="490"/>
      <c r="L214" s="490"/>
      <c r="M214" s="490"/>
      <c r="N214" s="490"/>
      <c r="O214" s="490"/>
      <c r="P214" s="490"/>
      <c r="Q214" s="490"/>
      <c r="R214" s="489"/>
      <c r="T214" s="489"/>
    </row>
    <row r="215" spans="1:20" ht="15.75" customHeight="1" collapsed="1" x14ac:dyDescent="0.25">
      <c r="A215" s="489"/>
      <c r="E215" s="585"/>
      <c r="F215" s="585"/>
      <c r="G215" s="489"/>
      <c r="H215" s="489"/>
      <c r="I215" s="489"/>
      <c r="J215" s="489"/>
      <c r="K215" s="489"/>
      <c r="L215" s="489"/>
      <c r="M215" s="489"/>
      <c r="N215" s="489"/>
      <c r="O215" s="489"/>
      <c r="P215" s="489"/>
      <c r="Q215" s="489"/>
      <c r="R215" s="489"/>
      <c r="T215" s="489"/>
    </row>
    <row r="216" spans="1:20" ht="14.25" customHeight="1" x14ac:dyDescent="0.25">
      <c r="A216" s="489"/>
      <c r="E216" s="585"/>
      <c r="F216" s="585"/>
      <c r="H216" s="517"/>
      <c r="I216" s="490"/>
      <c r="J216" s="490"/>
      <c r="K216" s="490"/>
      <c r="L216" s="490"/>
      <c r="M216" s="490"/>
      <c r="N216" s="490"/>
      <c r="O216" s="490"/>
      <c r="P216" s="490"/>
      <c r="Q216" s="490"/>
      <c r="R216" s="489"/>
      <c r="T216" s="489"/>
    </row>
    <row r="217" spans="1:20" ht="26.25" customHeight="1" x14ac:dyDescent="0.25">
      <c r="A217" s="489"/>
      <c r="E217" s="586"/>
      <c r="F217" s="586"/>
      <c r="H217" s="489"/>
      <c r="I217" s="489"/>
      <c r="J217" s="489"/>
      <c r="K217" s="489"/>
      <c r="L217" s="489"/>
      <c r="M217" s="489"/>
      <c r="N217" s="489"/>
      <c r="O217" s="489"/>
      <c r="P217" s="489"/>
      <c r="Q217" s="489"/>
      <c r="R217" s="489"/>
      <c r="T217" s="489"/>
    </row>
    <row r="218" spans="1:20" ht="15.75" customHeight="1" x14ac:dyDescent="0.25">
      <c r="A218" s="489"/>
      <c r="B218" s="489"/>
      <c r="D218" s="489"/>
      <c r="H218" s="489"/>
      <c r="I218" s="489"/>
      <c r="K218" s="1388"/>
      <c r="L218" s="1388"/>
      <c r="M218" s="489"/>
      <c r="N218" s="489"/>
      <c r="O218" s="489"/>
      <c r="P218" s="489"/>
      <c r="Q218" s="489"/>
      <c r="R218" s="489"/>
      <c r="T218" s="489"/>
    </row>
    <row r="219" spans="1:20" x14ac:dyDescent="0.25">
      <c r="A219" s="489"/>
      <c r="B219" s="489"/>
      <c r="D219" s="490"/>
      <c r="E219" s="582"/>
      <c r="F219" s="490"/>
      <c r="G219" s="376"/>
      <c r="H219" s="376"/>
      <c r="I219" s="376"/>
      <c r="J219" s="376"/>
      <c r="K219" s="1396"/>
      <c r="L219" s="1396"/>
      <c r="M219" s="490"/>
      <c r="N219" s="490"/>
      <c r="O219" s="490"/>
      <c r="P219" s="490"/>
      <c r="Q219" s="490"/>
      <c r="R219" s="489"/>
      <c r="T219" s="489"/>
    </row>
    <row r="220" spans="1:20" x14ac:dyDescent="0.25">
      <c r="A220" s="489"/>
      <c r="B220" s="489"/>
      <c r="C220" s="490"/>
      <c r="D220" s="490"/>
      <c r="E220" s="582"/>
      <c r="F220" s="582"/>
      <c r="G220" s="376"/>
      <c r="H220" s="376"/>
      <c r="I220" s="376"/>
      <c r="J220" s="376"/>
      <c r="K220" s="1396"/>
      <c r="L220" s="1396"/>
      <c r="M220" s="490"/>
      <c r="N220" s="490"/>
      <c r="O220" s="490"/>
      <c r="P220" s="490"/>
      <c r="Q220" s="490"/>
      <c r="R220" s="489"/>
      <c r="T220" s="489"/>
    </row>
    <row r="221" spans="1:20" x14ac:dyDescent="0.25">
      <c r="A221" s="489"/>
      <c r="B221" s="489"/>
      <c r="C221" s="490"/>
      <c r="D221" s="490"/>
      <c r="E221" s="582"/>
      <c r="F221" s="582"/>
      <c r="G221" s="376"/>
      <c r="H221" s="376"/>
      <c r="I221" s="376"/>
      <c r="J221" s="376"/>
      <c r="K221" s="1396"/>
      <c r="L221" s="1396"/>
      <c r="M221" s="490"/>
      <c r="N221" s="490"/>
      <c r="O221" s="490"/>
      <c r="P221" s="490"/>
      <c r="Q221" s="490"/>
      <c r="R221" s="489"/>
      <c r="T221" s="489"/>
    </row>
    <row r="222" spans="1:20" x14ac:dyDescent="0.25">
      <c r="A222" s="489"/>
      <c r="B222" s="489"/>
      <c r="D222" s="490"/>
      <c r="E222" s="582"/>
      <c r="F222" s="582"/>
      <c r="G222" s="376"/>
      <c r="H222" s="376"/>
      <c r="I222" s="376"/>
      <c r="J222" s="376"/>
      <c r="K222" s="1396"/>
      <c r="L222" s="1396"/>
      <c r="M222" s="489"/>
      <c r="N222" s="489"/>
      <c r="O222" s="489"/>
      <c r="P222" s="489"/>
      <c r="Q222" s="489"/>
      <c r="R222" s="489"/>
      <c r="T222" s="489"/>
    </row>
    <row r="223" spans="1:20" x14ac:dyDescent="0.25">
      <c r="A223" s="489"/>
      <c r="B223" s="489"/>
      <c r="D223" s="490"/>
      <c r="E223" s="582"/>
      <c r="F223" s="582"/>
      <c r="G223" s="376"/>
      <c r="H223" s="376"/>
      <c r="I223" s="376"/>
      <c r="J223" s="376"/>
      <c r="K223" s="1396"/>
      <c r="L223" s="1396"/>
      <c r="M223" s="489"/>
      <c r="N223" s="489"/>
      <c r="O223" s="489"/>
      <c r="P223" s="489"/>
      <c r="Q223" s="489"/>
      <c r="R223" s="489"/>
      <c r="T223" s="489"/>
    </row>
    <row r="224" spans="1:20" x14ac:dyDescent="0.25">
      <c r="F224" s="582"/>
      <c r="G224" s="376"/>
      <c r="H224" s="376"/>
      <c r="I224" s="376"/>
    </row>
    <row r="225" spans="6:9" x14ac:dyDescent="0.25">
      <c r="F225" s="582"/>
      <c r="G225" s="376"/>
      <c r="H225" s="376"/>
      <c r="I225" s="376"/>
    </row>
  </sheetData>
  <protectedRanges>
    <protectedRange sqref="U9:W20" name="Plage5"/>
  </protectedRanges>
  <sortState ref="W44:AE85">
    <sortCondition ref="W44:W85"/>
  </sortState>
  <mergeCells count="98">
    <mergeCell ref="P26:Q27"/>
    <mergeCell ref="W24:W25"/>
    <mergeCell ref="U24:U25"/>
    <mergeCell ref="W15:W16"/>
    <mergeCell ref="W17:W18"/>
    <mergeCell ref="W19:W20"/>
    <mergeCell ref="V19:V20"/>
    <mergeCell ref="T27:V28"/>
    <mergeCell ref="V21:V22"/>
    <mergeCell ref="K20:N20"/>
    <mergeCell ref="P24:Q25"/>
    <mergeCell ref="N11:R12"/>
    <mergeCell ref="M11:M12"/>
    <mergeCell ref="U19:U20"/>
    <mergeCell ref="U17:U18"/>
    <mergeCell ref="U15:U16"/>
    <mergeCell ref="H23:Q23"/>
    <mergeCell ref="U23:AB23"/>
    <mergeCell ref="V17:V18"/>
    <mergeCell ref="O20:Q20"/>
    <mergeCell ref="P13:P14"/>
    <mergeCell ref="W21:W22"/>
    <mergeCell ref="U21:U22"/>
    <mergeCell ref="B19:B20"/>
    <mergeCell ref="C19:C20"/>
    <mergeCell ref="D19:E20"/>
    <mergeCell ref="J24:J25"/>
    <mergeCell ref="N26:N27"/>
    <mergeCell ref="L26:M27"/>
    <mergeCell ref="L24:N25"/>
    <mergeCell ref="K17:Q19"/>
    <mergeCell ref="C23:F23"/>
    <mergeCell ref="H24:H25"/>
    <mergeCell ref="F24:G25"/>
    <mergeCell ref="F27:G27"/>
    <mergeCell ref="G19:G20"/>
    <mergeCell ref="F19:F20"/>
    <mergeCell ref="H19:H20"/>
    <mergeCell ref="B24:C25"/>
    <mergeCell ref="D24:E25"/>
    <mergeCell ref="B27:C27"/>
    <mergeCell ref="D27:E27"/>
    <mergeCell ref="H27:J27"/>
    <mergeCell ref="X7:AB7"/>
    <mergeCell ref="Q9:Q10"/>
    <mergeCell ref="AB21:AB22"/>
    <mergeCell ref="AA21:AA22"/>
    <mergeCell ref="Z21:Z22"/>
    <mergeCell ref="Y21:Y22"/>
    <mergeCell ref="X21:X22"/>
    <mergeCell ref="Q13:Q14"/>
    <mergeCell ref="V9:V10"/>
    <mergeCell ref="V11:V12"/>
    <mergeCell ref="V13:V14"/>
    <mergeCell ref="V15:V16"/>
    <mergeCell ref="B1:AB1"/>
    <mergeCell ref="U13:U14"/>
    <mergeCell ref="U11:U12"/>
    <mergeCell ref="U9:U10"/>
    <mergeCell ref="W9:W10"/>
    <mergeCell ref="W11:W12"/>
    <mergeCell ref="W13:W14"/>
    <mergeCell ref="B2:AB2"/>
    <mergeCell ref="B4:AB4"/>
    <mergeCell ref="V7:W8"/>
    <mergeCell ref="U7:U8"/>
    <mergeCell ref="U5:W6"/>
    <mergeCell ref="D18:E18"/>
    <mergeCell ref="L6:R8"/>
    <mergeCell ref="P9:P10"/>
    <mergeCell ref="L9:N10"/>
    <mergeCell ref="E8:H10"/>
    <mergeCell ref="E12:H12"/>
    <mergeCell ref="C17:H17"/>
    <mergeCell ref="M13:O14"/>
    <mergeCell ref="F6:H7"/>
    <mergeCell ref="B6:E7"/>
    <mergeCell ref="K223:L223"/>
    <mergeCell ref="K218:L218"/>
    <mergeCell ref="K219:L219"/>
    <mergeCell ref="K220:L220"/>
    <mergeCell ref="K221:L221"/>
    <mergeCell ref="K222:L222"/>
    <mergeCell ref="R62:S62"/>
    <mergeCell ref="R63:S63"/>
    <mergeCell ref="AB24:AB25"/>
    <mergeCell ref="AA24:AA25"/>
    <mergeCell ref="Z24:Z25"/>
    <mergeCell ref="Y24:Y25"/>
    <mergeCell ref="X24:X25"/>
    <mergeCell ref="Y27:AB28"/>
    <mergeCell ref="W27:X28"/>
    <mergeCell ref="R70:T70"/>
    <mergeCell ref="R71:T71"/>
    <mergeCell ref="R66:T66"/>
    <mergeCell ref="R67:T67"/>
    <mergeCell ref="R68:T68"/>
    <mergeCell ref="R69:T69"/>
  </mergeCells>
  <dataValidations count="9">
    <dataValidation type="list" allowBlank="1" showInputMessage="1" showErrorMessage="1" sqref="C12">
      <formula1>$H$32:$H$37</formula1>
    </dataValidation>
    <dataValidation type="list" allowBlank="1" showInputMessage="1" showErrorMessage="1" sqref="C14">
      <formula1>$E$32:$E$38</formula1>
    </dataValidation>
    <dataValidation type="list" allowBlank="1" showInputMessage="1" showErrorMessage="1" sqref="W9:W10">
      <formula1>INDIRECT($V$9)</formula1>
    </dataValidation>
    <dataValidation type="list" allowBlank="1" showInputMessage="1" showErrorMessage="1" sqref="W11:W12">
      <formula1>INDIRECT($V$11)</formula1>
    </dataValidation>
    <dataValidation type="list" allowBlank="1" showInputMessage="1" showErrorMessage="1" sqref="W13:W14">
      <formula1>INDIRECT($V$13)</formula1>
    </dataValidation>
    <dataValidation type="list" allowBlank="1" showInputMessage="1" showErrorMessage="1" sqref="W15:W16">
      <formula1>INDIRECT($V$15)</formula1>
    </dataValidation>
    <dataValidation type="list" allowBlank="1" showInputMessage="1" showErrorMessage="1" sqref="W17:W18">
      <formula1>INDIRECT($V$17)</formula1>
    </dataValidation>
    <dataValidation type="list" allowBlank="1" showInputMessage="1" showErrorMessage="1" sqref="W19:W20">
      <formula1>INDIRECT($V$19)</formula1>
    </dataValidation>
    <dataValidation type="list" allowBlank="1" showInputMessage="1" showErrorMessage="1" sqref="V9:V20">
      <formula1>$Q$44:$Q$49</formula1>
    </dataValidation>
  </dataValidation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Option Button 1">
              <controlPr defaultSize="0" autoFill="0" autoLine="0" autoPict="0">
                <anchor moveWithCells="1" sizeWithCells="1">
                  <from>
                    <xdr:col>1</xdr:col>
                    <xdr:colOff>142875</xdr:colOff>
                    <xdr:row>7</xdr:row>
                    <xdr:rowOff>142875</xdr:rowOff>
                  </from>
                  <to>
                    <xdr:col>2</xdr:col>
                    <xdr:colOff>209550</xdr:colOff>
                    <xdr:row>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Option Button 2">
              <controlPr defaultSize="0" autoFill="0" autoLine="0" autoPict="0">
                <anchor moveWithCells="1" sizeWithCells="1">
                  <from>
                    <xdr:col>2</xdr:col>
                    <xdr:colOff>257175</xdr:colOff>
                    <xdr:row>7</xdr:row>
                    <xdr:rowOff>142875</xdr:rowOff>
                  </from>
                  <to>
                    <xdr:col>3</xdr:col>
                    <xdr:colOff>57150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 sizeWithCells="1">
                  <from>
                    <xdr:col>1</xdr:col>
                    <xdr:colOff>285750</xdr:colOff>
                    <xdr:row>9</xdr:row>
                    <xdr:rowOff>57150</xdr:rowOff>
                  </from>
                  <to>
                    <xdr:col>3</xdr:col>
                    <xdr:colOff>57150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3" r:id="rId7" name="Spinner 39">
              <controlPr locked="0" defaultSize="0" autoPict="0">
                <anchor moveWithCells="1" sizeWithCells="1">
                  <from>
                    <xdr:col>13</xdr:col>
                    <xdr:colOff>381000</xdr:colOff>
                    <xdr:row>8</xdr:row>
                    <xdr:rowOff>0</xdr:rowOff>
                  </from>
                  <to>
                    <xdr:col>15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4" r:id="rId8" name="Spinner 40">
              <controlPr defaultSize="0" autoPict="0">
                <anchor moveWithCells="1" sizeWithCells="1">
                  <from>
                    <xdr:col>2</xdr:col>
                    <xdr:colOff>762000</xdr:colOff>
                    <xdr:row>22</xdr:row>
                    <xdr:rowOff>523875</xdr:rowOff>
                  </from>
                  <to>
                    <xdr:col>3</xdr:col>
                    <xdr:colOff>152400</xdr:colOff>
                    <xdr:row>25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/>
  <dimension ref="A1:W141"/>
  <sheetViews>
    <sheetView showGridLines="0" showRowColHeaders="0" topLeftCell="A4" zoomScale="140" zoomScaleNormal="140" workbookViewId="0"/>
  </sheetViews>
  <sheetFormatPr defaultColWidth="11.42578125" defaultRowHeight="15" outlineLevelRow="1" x14ac:dyDescent="0.25"/>
  <cols>
    <col min="1" max="1" width="3.42578125" style="539" customWidth="1"/>
    <col min="2" max="2" width="14.42578125" style="539" customWidth="1"/>
    <col min="3" max="3" width="13.28515625" style="539" customWidth="1"/>
    <col min="4" max="4" width="8" style="539" customWidth="1"/>
    <col min="5" max="5" width="6.42578125" style="539" customWidth="1"/>
    <col min="6" max="6" width="9" style="539" customWidth="1"/>
    <col min="7" max="7" width="13" style="539" customWidth="1"/>
    <col min="8" max="8" width="8.42578125" style="539" customWidth="1"/>
    <col min="9" max="9" width="4.28515625" style="539" customWidth="1"/>
    <col min="10" max="10" width="8.42578125" style="539" customWidth="1"/>
    <col min="11" max="11" width="4.140625" style="539" customWidth="1"/>
    <col min="12" max="12" width="9.28515625" style="539" customWidth="1"/>
    <col min="13" max="13" width="4.28515625" style="539" customWidth="1"/>
    <col min="14" max="14" width="6.85546875" style="539" customWidth="1"/>
    <col min="15" max="15" width="4.28515625" style="539" customWidth="1"/>
    <col min="16" max="16" width="3.5703125" style="539" customWidth="1"/>
    <col min="17" max="16384" width="11.42578125" style="539"/>
  </cols>
  <sheetData>
    <row r="1" spans="1:22" ht="59.25" customHeight="1" thickBot="1" x14ac:dyDescent="0.3">
      <c r="A1" s="497"/>
      <c r="B1" s="1107" t="s">
        <v>1275</v>
      </c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  <c r="O1" s="1107"/>
      <c r="P1" s="507"/>
    </row>
    <row r="2" spans="1:22" ht="32.25" thickBot="1" x14ac:dyDescent="0.3">
      <c r="A2" s="497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8"/>
      <c r="P2" s="507"/>
      <c r="S2"/>
    </row>
    <row r="3" spans="1:22" ht="15" customHeight="1" x14ac:dyDescent="0.25">
      <c r="A3" s="497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507"/>
    </row>
    <row r="4" spans="1:22" ht="27.75" x14ac:dyDescent="0.25">
      <c r="A4" s="497"/>
      <c r="B4" s="506"/>
      <c r="C4" s="505"/>
      <c r="D4" s="505"/>
      <c r="E4" s="505"/>
      <c r="F4" s="505"/>
      <c r="G4" s="1086" t="s">
        <v>761</v>
      </c>
      <c r="H4" s="1086"/>
      <c r="I4" s="1086"/>
      <c r="J4" s="1086"/>
      <c r="K4" s="1086"/>
      <c r="L4" s="1086"/>
      <c r="M4" s="538"/>
      <c r="N4" s="505"/>
      <c r="O4" s="32"/>
      <c r="P4" s="133"/>
    </row>
    <row r="5" spans="1:22" x14ac:dyDescent="0.25">
      <c r="A5" s="497"/>
      <c r="B5" s="497"/>
      <c r="C5" s="497"/>
      <c r="D5" s="497"/>
      <c r="E5" s="497"/>
      <c r="F5" s="497"/>
      <c r="G5" s="503"/>
      <c r="H5" s="503"/>
      <c r="I5" s="503"/>
      <c r="J5" s="503"/>
      <c r="K5" s="503"/>
      <c r="L5" s="503"/>
      <c r="M5" s="503"/>
      <c r="N5" s="497"/>
      <c r="O5" s="497"/>
      <c r="P5" s="497"/>
    </row>
    <row r="6" spans="1:22" ht="38.25" customHeight="1" x14ac:dyDescent="0.25">
      <c r="A6" s="497"/>
      <c r="B6" s="336"/>
      <c r="C6" s="786" t="s">
        <v>1262</v>
      </c>
      <c r="D6" s="330"/>
      <c r="E6" s="337"/>
      <c r="F6" s="337"/>
      <c r="G6" s="330"/>
      <c r="H6" s="330"/>
      <c r="I6" s="330"/>
      <c r="J6" s="330"/>
      <c r="K6" s="330"/>
      <c r="L6" s="330"/>
      <c r="M6" s="330"/>
      <c r="N6" s="330"/>
      <c r="O6" s="498"/>
      <c r="P6" s="497"/>
    </row>
    <row r="7" spans="1:22" ht="30" customHeight="1" x14ac:dyDescent="0.25">
      <c r="A7" s="497"/>
      <c r="B7" s="540" t="s">
        <v>745</v>
      </c>
      <c r="C7" s="555"/>
      <c r="D7" s="548" t="s">
        <v>746</v>
      </c>
      <c r="E7" s="1492" t="s">
        <v>1197</v>
      </c>
      <c r="F7" s="1492"/>
      <c r="G7" s="819"/>
      <c r="H7" s="820" t="s">
        <v>1195</v>
      </c>
      <c r="I7" s="497"/>
      <c r="J7" s="1160" t="s">
        <v>1196</v>
      </c>
      <c r="K7" s="1160"/>
      <c r="L7" s="1472"/>
      <c r="M7" s="1472"/>
      <c r="N7" s="725" t="s">
        <v>747</v>
      </c>
      <c r="O7" s="500"/>
      <c r="P7" s="497"/>
      <c r="S7"/>
    </row>
    <row r="8" spans="1:22" ht="19.5" customHeight="1" x14ac:dyDescent="0.25">
      <c r="A8" s="497"/>
      <c r="B8" s="527"/>
      <c r="C8" s="341"/>
      <c r="D8" s="526"/>
      <c r="E8" s="821"/>
      <c r="F8" s="821"/>
      <c r="G8" s="543"/>
      <c r="H8" s="543"/>
      <c r="I8" s="549"/>
      <c r="J8" s="549"/>
      <c r="K8" s="497"/>
      <c r="L8" s="497"/>
      <c r="M8" s="497"/>
      <c r="N8" s="497"/>
      <c r="O8" s="500"/>
      <c r="P8" s="497"/>
    </row>
    <row r="9" spans="1:22" ht="28.5" customHeight="1" x14ac:dyDescent="0.25">
      <c r="A9" s="497"/>
      <c r="B9" s="540" t="s">
        <v>748</v>
      </c>
      <c r="C9" s="556"/>
      <c r="D9" s="526"/>
      <c r="E9" s="497"/>
      <c r="F9" s="549"/>
      <c r="G9" s="962" t="s">
        <v>1263</v>
      </c>
      <c r="H9" s="557"/>
      <c r="I9" s="557"/>
      <c r="J9" s="549"/>
      <c r="K9" s="1493" t="s">
        <v>768</v>
      </c>
      <c r="L9" s="1493"/>
      <c r="M9" s="1493"/>
      <c r="N9" s="1493"/>
      <c r="O9" s="500"/>
      <c r="P9" s="497"/>
      <c r="R9" s="562"/>
      <c r="S9" s="562"/>
      <c r="T9" s="562"/>
      <c r="U9" s="562"/>
    </row>
    <row r="10" spans="1:22" s="562" customFormat="1" ht="17.25" customHeight="1" x14ac:dyDescent="0.25">
      <c r="A10" s="497"/>
      <c r="B10" s="563"/>
      <c r="C10" s="526"/>
      <c r="D10" s="526"/>
      <c r="E10" s="497"/>
      <c r="F10" s="549"/>
      <c r="G10" s="960" t="s">
        <v>1264</v>
      </c>
      <c r="H10" s="557"/>
      <c r="I10" s="59"/>
      <c r="J10" s="549"/>
      <c r="K10" s="1493"/>
      <c r="L10" s="1493"/>
      <c r="M10" s="1493"/>
      <c r="N10" s="1493"/>
      <c r="O10" s="500"/>
      <c r="P10" s="497"/>
    </row>
    <row r="11" spans="1:22" s="562" customFormat="1" ht="28.5" customHeight="1" x14ac:dyDescent="0.25">
      <c r="A11" s="497"/>
      <c r="B11" s="566" t="s">
        <v>1</v>
      </c>
      <c r="C11" s="1486"/>
      <c r="D11" s="1486"/>
      <c r="E11" s="1486"/>
      <c r="F11" s="549"/>
      <c r="G11" s="963" t="s">
        <v>1265</v>
      </c>
      <c r="H11" s="557"/>
      <c r="I11" s="558"/>
      <c r="J11" s="549"/>
      <c r="K11" s="1493"/>
      <c r="L11" s="1493"/>
      <c r="M11" s="1493"/>
      <c r="N11" s="1493"/>
      <c r="O11" s="500"/>
      <c r="P11" s="497"/>
    </row>
    <row r="12" spans="1:22" ht="22.5" customHeight="1" x14ac:dyDescent="0.25">
      <c r="A12" s="497"/>
      <c r="B12" s="544"/>
      <c r="C12" s="1473" t="str">
        <f>IF(C11="","",CONCATENATE(N23," kg MS /jour"))</f>
        <v/>
      </c>
      <c r="D12" s="1473"/>
      <c r="E12" s="1473"/>
      <c r="F12" s="1488" t="s">
        <v>781</v>
      </c>
      <c r="G12" s="1488"/>
      <c r="H12" s="557"/>
      <c r="I12" s="558"/>
      <c r="J12" s="551"/>
      <c r="K12" s="1480" t="str">
        <f>IF(C7="","",IF(H31=1,(C13/C16),IF(H31=2,(C13/C16)*1.07,IF(H31=3,(C13/C16)*1.15,(C13/C16)*1.3))))</f>
        <v/>
      </c>
      <c r="L12" s="1480"/>
      <c r="M12" s="1481" t="str">
        <f>IF(K12="","","Jours")</f>
        <v/>
      </c>
      <c r="N12" s="1481"/>
      <c r="O12" s="546"/>
      <c r="P12" s="497"/>
    </row>
    <row r="13" spans="1:22" ht="29.25" customHeight="1" x14ac:dyDescent="0.25">
      <c r="A13" s="497"/>
      <c r="B13" s="540" t="s">
        <v>751</v>
      </c>
      <c r="C13" s="552" t="str">
        <f>IF(C7="","",(G7-L7)*I23*C7)</f>
        <v/>
      </c>
      <c r="D13" s="1489" t="s">
        <v>750</v>
      </c>
      <c r="E13" s="1489"/>
      <c r="F13" s="1488"/>
      <c r="G13" s="1488"/>
      <c r="H13" s="557"/>
      <c r="I13" s="558"/>
      <c r="J13" s="551"/>
      <c r="K13" s="1480"/>
      <c r="L13" s="1480"/>
      <c r="M13" s="1481"/>
      <c r="N13" s="1481"/>
      <c r="O13" s="546"/>
      <c r="P13" s="497"/>
      <c r="R13" s="562"/>
      <c r="S13" s="562"/>
      <c r="T13" s="562"/>
      <c r="U13" s="562"/>
      <c r="V13" s="562"/>
    </row>
    <row r="14" spans="1:22" ht="13.5" customHeight="1" x14ac:dyDescent="0.25">
      <c r="A14" s="497"/>
      <c r="B14" s="547"/>
      <c r="C14" s="554" t="str">
        <f>IF(C7="","",CONCATENATE((C13/C7)/1000,"  t MS /ha"))</f>
        <v/>
      </c>
      <c r="D14" s="550"/>
      <c r="E14" s="553"/>
      <c r="F14" s="1488"/>
      <c r="G14" s="1488"/>
      <c r="H14" s="545"/>
      <c r="I14" s="545"/>
      <c r="J14" s="545"/>
      <c r="K14" s="545"/>
      <c r="L14" s="567" t="str">
        <f>IF(K12="","",(C9*0.15)/C7)</f>
        <v/>
      </c>
      <c r="M14" s="1084" t="str">
        <f>IF(K12="","","UGB / ha")</f>
        <v/>
      </c>
      <c r="N14" s="1084"/>
      <c r="O14" s="546"/>
      <c r="P14" s="497"/>
      <c r="Q14" s="376"/>
      <c r="R14" s="562"/>
      <c r="S14" s="562"/>
      <c r="T14" s="562"/>
      <c r="U14" s="562"/>
    </row>
    <row r="15" spans="1:22" ht="6" customHeight="1" x14ac:dyDescent="0.25">
      <c r="A15" s="497"/>
      <c r="B15" s="547"/>
      <c r="C15" s="554" t="str">
        <f>IF(C8="","",CONCATENATE((C14/C8)/1000,"  t MS /ha"))</f>
        <v/>
      </c>
      <c r="D15" s="550"/>
      <c r="E15" s="553"/>
      <c r="F15" s="1490" t="s">
        <v>767</v>
      </c>
      <c r="G15" s="1490"/>
      <c r="H15" s="1490"/>
      <c r="I15" s="1490"/>
      <c r="J15" s="1490"/>
      <c r="K15" s="1482" t="str">
        <f>IF(G7&gt;13,"Trop de gaspillage                   Il vaut mieux faucher !",IF(C7="","",IF(J32&gt;J33*1.2,"Risques de gaspillage importants: Augmentez le chargement !","")))</f>
        <v/>
      </c>
      <c r="L15" s="1482"/>
      <c r="M15" s="1482"/>
      <c r="N15" s="1482"/>
      <c r="O15" s="1483"/>
      <c r="P15" s="497"/>
      <c r="R15" s="562"/>
      <c r="S15" s="562"/>
      <c r="T15" s="562"/>
      <c r="U15" s="562"/>
    </row>
    <row r="16" spans="1:22" s="562" customFormat="1" ht="30" customHeight="1" x14ac:dyDescent="0.25">
      <c r="A16" s="497"/>
      <c r="B16" s="563" t="s">
        <v>749</v>
      </c>
      <c r="C16" s="564" t="str">
        <f>IF(C7="","",N23*C9)</f>
        <v/>
      </c>
      <c r="D16" s="1489" t="s">
        <v>757</v>
      </c>
      <c r="E16" s="1489"/>
      <c r="F16" s="1490"/>
      <c r="G16" s="1490"/>
      <c r="H16" s="1490"/>
      <c r="I16" s="1490"/>
      <c r="J16" s="1490"/>
      <c r="K16" s="1482"/>
      <c r="L16" s="1482"/>
      <c r="M16" s="1482"/>
      <c r="N16" s="1482"/>
      <c r="O16" s="1483"/>
      <c r="P16" s="497"/>
    </row>
    <row r="17" spans="1:23" ht="21.75" customHeight="1" x14ac:dyDescent="0.25">
      <c r="A17" s="497"/>
      <c r="B17" s="565"/>
      <c r="C17" s="24"/>
      <c r="D17" s="24"/>
      <c r="E17" s="24"/>
      <c r="F17" s="1491"/>
      <c r="G17" s="1491"/>
      <c r="H17" s="1491"/>
      <c r="I17" s="1491"/>
      <c r="J17" s="1491"/>
      <c r="K17" s="1484"/>
      <c r="L17" s="1484"/>
      <c r="M17" s="1484"/>
      <c r="N17" s="1484"/>
      <c r="O17" s="1485"/>
      <c r="P17" s="497"/>
      <c r="R17" s="562"/>
      <c r="S17" s="562"/>
      <c r="T17" s="562"/>
      <c r="U17" s="562"/>
    </row>
    <row r="18" spans="1:23" x14ac:dyDescent="0.25">
      <c r="A18" s="497"/>
      <c r="B18" s="497"/>
      <c r="C18" s="497"/>
      <c r="D18" s="497"/>
      <c r="E18" s="497"/>
      <c r="F18" s="497"/>
      <c r="G18" s="497"/>
      <c r="H18" s="497"/>
      <c r="I18" s="497"/>
      <c r="J18" s="497"/>
      <c r="K18" s="497"/>
      <c r="L18" s="497"/>
      <c r="M18" s="497"/>
      <c r="N18" s="497"/>
      <c r="O18" s="497"/>
      <c r="P18" s="497"/>
    </row>
    <row r="20" spans="1:23" hidden="1" outlineLevel="1" x14ac:dyDescent="0.25"/>
    <row r="21" spans="1:23" ht="15" hidden="1" customHeight="1" outlineLevel="1" x14ac:dyDescent="0.25">
      <c r="Q21" s="371"/>
      <c r="R21" s="568"/>
      <c r="S21" s="568"/>
      <c r="T21" s="568"/>
      <c r="U21" s="568"/>
      <c r="V21" s="568"/>
      <c r="W21" s="371"/>
    </row>
    <row r="22" spans="1:23" hidden="1" outlineLevel="1" x14ac:dyDescent="0.25">
      <c r="B22" s="491"/>
      <c r="C22" s="491"/>
      <c r="D22" s="491"/>
      <c r="E22" s="541"/>
      <c r="F22" s="541"/>
      <c r="G22" s="572"/>
      <c r="H22" s="1474" t="s">
        <v>755</v>
      </c>
      <c r="I22" s="1474"/>
      <c r="J22" s="160"/>
      <c r="K22" s="160"/>
      <c r="L22" s="1475" t="s">
        <v>756</v>
      </c>
      <c r="M22" s="1475"/>
      <c r="N22" s="1475"/>
      <c r="O22" s="491"/>
      <c r="P22" s="491"/>
      <c r="Q22" s="568"/>
      <c r="R22" s="568"/>
      <c r="S22" s="568"/>
      <c r="T22" s="568"/>
      <c r="U22" s="568"/>
      <c r="V22" s="568"/>
      <c r="W22" s="371"/>
    </row>
    <row r="23" spans="1:23" hidden="1" outlineLevel="1" x14ac:dyDescent="0.25">
      <c r="B23" s="491"/>
      <c r="C23" s="491" t="s">
        <v>752</v>
      </c>
      <c r="D23" s="491"/>
      <c r="E23" s="541"/>
      <c r="F23" s="541"/>
      <c r="G23" s="572"/>
      <c r="H23" s="559">
        <v>2</v>
      </c>
      <c r="I23" s="559">
        <f>IF(H23=1,250,IF(H23=2,300,350))</f>
        <v>300</v>
      </c>
      <c r="J23" s="160"/>
      <c r="K23" s="160"/>
      <c r="L23" s="162">
        <f>C11</f>
        <v>0</v>
      </c>
      <c r="M23" s="162"/>
      <c r="N23" s="162">
        <f>IF(L23="Brebis allaitante",3.5,IF(L23="Agnelle",2,2.5))</f>
        <v>2.5</v>
      </c>
      <c r="O23" s="491"/>
      <c r="P23" s="491"/>
      <c r="Q23" s="371"/>
      <c r="R23" s="371"/>
      <c r="S23" s="371"/>
      <c r="T23" s="371"/>
      <c r="U23" s="371"/>
      <c r="V23" s="371"/>
      <c r="W23" s="371"/>
    </row>
    <row r="24" spans="1:23" hidden="1" outlineLevel="1" x14ac:dyDescent="0.25">
      <c r="B24" s="491"/>
      <c r="C24" s="491" t="s">
        <v>753</v>
      </c>
      <c r="D24" s="491"/>
      <c r="E24" s="541"/>
      <c r="F24" s="541"/>
      <c r="G24" s="572"/>
      <c r="H24" s="160"/>
      <c r="I24" s="160"/>
      <c r="J24" s="160"/>
      <c r="K24" s="160"/>
      <c r="L24" s="162"/>
      <c r="M24" s="162"/>
      <c r="N24" s="162"/>
      <c r="O24" s="491"/>
      <c r="P24" s="491"/>
      <c r="Q24" s="491"/>
    </row>
    <row r="25" spans="1:23" hidden="1" outlineLevel="1" x14ac:dyDescent="0.25">
      <c r="B25" s="491"/>
      <c r="C25" s="491" t="s">
        <v>754</v>
      </c>
      <c r="D25" s="491"/>
      <c r="E25" s="541"/>
      <c r="F25" s="541"/>
      <c r="G25" s="572"/>
      <c r="H25" s="1487" t="s">
        <v>763</v>
      </c>
      <c r="I25" s="1487"/>
      <c r="J25" s="160"/>
      <c r="K25" s="160"/>
      <c r="L25" s="162"/>
      <c r="M25" s="162"/>
      <c r="N25" s="162"/>
      <c r="O25" s="491"/>
      <c r="P25" s="491"/>
      <c r="Q25" s="491"/>
    </row>
    <row r="26" spans="1:23" hidden="1" outlineLevel="1" x14ac:dyDescent="0.25">
      <c r="B26" s="491"/>
      <c r="C26" s="371" t="s">
        <v>6</v>
      </c>
      <c r="D26" s="491"/>
      <c r="E26" s="541"/>
      <c r="F26" s="541"/>
      <c r="G26" s="572"/>
      <c r="H26" s="569" t="s">
        <v>769</v>
      </c>
      <c r="I26" s="570"/>
      <c r="J26" s="160"/>
      <c r="K26" s="160"/>
      <c r="L26" s="162"/>
      <c r="M26" s="162"/>
      <c r="N26" s="162"/>
      <c r="O26" s="491"/>
      <c r="P26" s="491"/>
      <c r="Q26" s="491"/>
    </row>
    <row r="27" spans="1:23" hidden="1" outlineLevel="1" x14ac:dyDescent="0.25">
      <c r="B27" s="491"/>
      <c r="C27" s="722" t="s">
        <v>7</v>
      </c>
      <c r="D27" s="491"/>
      <c r="E27" s="541"/>
      <c r="F27" s="541"/>
      <c r="G27" s="572"/>
      <c r="H27" s="570" t="s">
        <v>764</v>
      </c>
      <c r="I27" s="570"/>
      <c r="J27" s="160"/>
      <c r="K27" s="160"/>
      <c r="L27" s="162"/>
      <c r="M27" s="1476" t="e">
        <f>IF(H31=1,(C13/C16),IF(H31=2,(C13/C16)*1.07,IF(H31=3,(C13/C16)*1.15,(C13/C16)*1.3)))</f>
        <v>#VALUE!</v>
      </c>
      <c r="N27" s="1477"/>
      <c r="O27" s="491"/>
      <c r="P27" s="491"/>
      <c r="Q27" s="491"/>
    </row>
    <row r="28" spans="1:23" hidden="1" outlineLevel="1" x14ac:dyDescent="0.25">
      <c r="B28" s="491"/>
      <c r="C28" s="491"/>
      <c r="D28" s="491"/>
      <c r="E28" s="541"/>
      <c r="F28" s="541"/>
      <c r="G28" s="572"/>
      <c r="H28" s="570" t="s">
        <v>765</v>
      </c>
      <c r="I28" s="570"/>
      <c r="J28" s="160"/>
      <c r="K28" s="160"/>
      <c r="L28" s="162"/>
      <c r="M28" s="1478"/>
      <c r="N28" s="1479"/>
      <c r="O28" s="491"/>
      <c r="P28" s="491"/>
      <c r="Q28" s="491"/>
    </row>
    <row r="29" spans="1:23" ht="15" hidden="1" customHeight="1" outlineLevel="1" x14ac:dyDescent="0.25">
      <c r="B29" s="491"/>
      <c r="C29" s="491"/>
      <c r="F29" s="541"/>
      <c r="G29" s="572"/>
      <c r="H29" s="571" t="s">
        <v>766</v>
      </c>
      <c r="I29" s="571"/>
      <c r="J29" s="573"/>
      <c r="K29" s="1471"/>
      <c r="L29" s="1471"/>
      <c r="M29" s="162"/>
      <c r="N29" s="162"/>
      <c r="O29" s="491"/>
      <c r="P29" s="491"/>
      <c r="Q29" s="491"/>
    </row>
    <row r="30" spans="1:23" ht="15" hidden="1" customHeight="1" outlineLevel="1" x14ac:dyDescent="0.25">
      <c r="B30" s="491"/>
      <c r="C30" s="491"/>
      <c r="D30" s="491"/>
      <c r="E30" s="541"/>
      <c r="F30" s="541"/>
      <c r="G30" s="572"/>
      <c r="H30" s="571"/>
      <c r="I30" s="571"/>
      <c r="J30" s="573"/>
      <c r="K30" s="1471"/>
      <c r="L30" s="1471"/>
      <c r="M30" s="162"/>
      <c r="N30" s="162"/>
      <c r="O30" s="491"/>
      <c r="P30" s="491"/>
      <c r="Q30" s="491"/>
    </row>
    <row r="31" spans="1:23" hidden="1" outlineLevel="1" x14ac:dyDescent="0.25">
      <c r="B31" s="491"/>
      <c r="C31" s="491"/>
      <c r="D31" s="491"/>
      <c r="E31" s="541"/>
      <c r="F31" s="541"/>
      <c r="G31" s="572"/>
      <c r="H31" s="160">
        <v>1</v>
      </c>
      <c r="I31" s="160"/>
      <c r="J31" s="160">
        <f>IF(H31=1,0,IF(H31=2,0.5,IF(H31=3,1,2)))</f>
        <v>0</v>
      </c>
      <c r="K31" s="160"/>
      <c r="L31" s="162"/>
      <c r="M31" s="162"/>
      <c r="N31" s="162"/>
      <c r="O31" s="491"/>
      <c r="P31" s="491"/>
      <c r="Q31" s="491"/>
    </row>
    <row r="32" spans="1:23" hidden="1" outlineLevel="1" x14ac:dyDescent="0.25">
      <c r="B32" s="491"/>
      <c r="C32" s="491"/>
      <c r="D32" s="491"/>
      <c r="E32" s="541"/>
      <c r="F32" s="541"/>
      <c r="G32" s="572"/>
      <c r="H32" s="574" t="e">
        <f>J32/C16</f>
        <v>#VALUE!</v>
      </c>
      <c r="I32" s="160"/>
      <c r="J32" s="575">
        <f>(J31*I23*C7)/7</f>
        <v>0</v>
      </c>
      <c r="K32" s="160"/>
      <c r="L32" s="162"/>
      <c r="M32" s="162"/>
      <c r="N32" s="162"/>
      <c r="O32" s="491"/>
      <c r="P32" s="491"/>
      <c r="Q32" s="491"/>
    </row>
    <row r="33" spans="2:17" hidden="1" outlineLevel="1" x14ac:dyDescent="0.25">
      <c r="B33" s="491"/>
      <c r="C33" s="491"/>
      <c r="D33" s="491"/>
      <c r="E33" s="541"/>
      <c r="F33" s="541"/>
      <c r="G33" s="572"/>
      <c r="H33" s="576" t="e">
        <f>H32*(K12/7)</f>
        <v>#VALUE!</v>
      </c>
      <c r="I33" s="160"/>
      <c r="J33" s="577" t="str">
        <f>C16</f>
        <v/>
      </c>
      <c r="K33" s="160"/>
      <c r="L33" s="162"/>
      <c r="M33" s="162"/>
      <c r="N33" s="162"/>
      <c r="O33" s="491"/>
      <c r="P33" s="491"/>
      <c r="Q33" s="491"/>
    </row>
    <row r="34" spans="2:17" hidden="1" outlineLevel="1" x14ac:dyDescent="0.25">
      <c r="B34" s="491"/>
      <c r="C34" s="491"/>
      <c r="D34" s="491"/>
      <c r="E34" s="541"/>
      <c r="F34" s="541"/>
      <c r="G34" s="572"/>
      <c r="H34" s="578" t="e">
        <f>H33/K12</f>
        <v>#VALUE!</v>
      </c>
      <c r="I34" s="160"/>
      <c r="J34" s="157"/>
      <c r="K34" s="160"/>
      <c r="L34" s="162"/>
      <c r="M34" s="162"/>
      <c r="N34" s="162"/>
      <c r="O34" s="491"/>
      <c r="P34" s="491"/>
      <c r="Q34" s="491"/>
    </row>
    <row r="35" spans="2:17" hidden="1" outlineLevel="1" x14ac:dyDescent="0.25">
      <c r="B35" s="491"/>
      <c r="C35" s="491"/>
      <c r="D35" s="491"/>
      <c r="E35" s="541"/>
      <c r="F35" s="541"/>
      <c r="G35" s="541"/>
      <c r="H35" s="270"/>
      <c r="I35" s="270"/>
      <c r="J35" s="270"/>
      <c r="K35" s="270"/>
      <c r="L35" s="271"/>
      <c r="M35" s="271"/>
      <c r="N35" s="271"/>
      <c r="O35" s="491"/>
      <c r="P35" s="491"/>
      <c r="Q35" s="491"/>
    </row>
    <row r="36" spans="2:17" collapsed="1" x14ac:dyDescent="0.25">
      <c r="B36" s="491"/>
      <c r="C36" s="491"/>
      <c r="D36" s="491"/>
      <c r="E36" s="541"/>
      <c r="F36" s="541"/>
      <c r="G36" s="541"/>
      <c r="H36" s="270"/>
      <c r="I36" s="270"/>
      <c r="J36" s="270"/>
      <c r="K36" s="270"/>
      <c r="L36" s="271"/>
      <c r="M36" s="271"/>
      <c r="N36" s="271"/>
      <c r="O36" s="491"/>
      <c r="P36" s="491"/>
      <c r="Q36" s="491"/>
    </row>
    <row r="37" spans="2:17" x14ac:dyDescent="0.25">
      <c r="B37" s="491"/>
      <c r="C37" s="491"/>
      <c r="D37" s="491"/>
      <c r="E37" s="541"/>
      <c r="F37" s="541"/>
      <c r="G37" s="541"/>
      <c r="H37" s="270"/>
      <c r="I37" s="270"/>
      <c r="J37" s="270"/>
      <c r="K37" s="270"/>
      <c r="L37" s="271"/>
      <c r="M37" s="271"/>
      <c r="N37" s="271"/>
      <c r="O37" s="491"/>
      <c r="P37" s="491"/>
      <c r="Q37" s="491"/>
    </row>
    <row r="38" spans="2:17" x14ac:dyDescent="0.25">
      <c r="B38" s="491"/>
      <c r="C38" s="491"/>
      <c r="D38" s="491"/>
      <c r="E38" s="541"/>
      <c r="F38" s="541"/>
      <c r="G38" s="541"/>
      <c r="H38" s="270"/>
      <c r="I38" s="270"/>
      <c r="J38" s="270"/>
      <c r="K38" s="270"/>
      <c r="L38" s="271"/>
      <c r="M38" s="271"/>
      <c r="N38" s="271"/>
      <c r="O38" s="491"/>
      <c r="P38" s="491"/>
      <c r="Q38" s="491"/>
    </row>
    <row r="39" spans="2:17" x14ac:dyDescent="0.25">
      <c r="B39" s="491"/>
      <c r="C39" s="491"/>
      <c r="D39" s="491"/>
      <c r="E39" s="541"/>
      <c r="F39" s="541"/>
      <c r="G39" s="541"/>
      <c r="H39" s="541"/>
      <c r="I39" s="541"/>
      <c r="J39" s="541"/>
      <c r="K39" s="541"/>
      <c r="L39" s="271"/>
      <c r="M39" s="271"/>
      <c r="N39" s="271"/>
      <c r="O39" s="491"/>
      <c r="P39" s="491"/>
      <c r="Q39" s="491"/>
    </row>
    <row r="40" spans="2:17" x14ac:dyDescent="0.25">
      <c r="B40" s="491"/>
      <c r="C40" s="491"/>
      <c r="D40" s="491"/>
      <c r="E40" s="541"/>
      <c r="F40" s="541"/>
      <c r="G40" s="541"/>
      <c r="H40" s="270"/>
      <c r="I40" s="270"/>
      <c r="J40" s="270"/>
      <c r="K40" s="270"/>
      <c r="L40" s="271"/>
      <c r="M40" s="271"/>
      <c r="N40" s="271"/>
      <c r="O40" s="491"/>
      <c r="P40" s="491"/>
      <c r="Q40" s="491"/>
    </row>
    <row r="41" spans="2:17" x14ac:dyDescent="0.25">
      <c r="B41" s="491"/>
      <c r="C41" s="491"/>
      <c r="D41" s="491"/>
      <c r="E41" s="541"/>
      <c r="F41" s="541"/>
      <c r="G41" s="541"/>
      <c r="H41" s="270"/>
      <c r="I41" s="270"/>
      <c r="J41" s="270"/>
      <c r="K41" s="270"/>
      <c r="L41" s="271"/>
      <c r="M41" s="271"/>
      <c r="N41" s="271"/>
      <c r="O41" s="491"/>
      <c r="P41" s="491"/>
      <c r="Q41" s="491"/>
    </row>
    <row r="42" spans="2:17" x14ac:dyDescent="0.25">
      <c r="B42" s="491"/>
      <c r="C42" s="371"/>
      <c r="D42" s="371"/>
      <c r="E42" s="541"/>
      <c r="F42" s="541"/>
      <c r="G42" s="541"/>
      <c r="H42" s="542"/>
      <c r="I42" s="542"/>
      <c r="J42" s="542"/>
      <c r="K42" s="542"/>
      <c r="L42" s="271"/>
      <c r="M42" s="271"/>
      <c r="N42" s="271"/>
      <c r="O42" s="491"/>
      <c r="P42" s="491"/>
      <c r="Q42" s="491"/>
    </row>
    <row r="43" spans="2:17" x14ac:dyDescent="0.25">
      <c r="B43" s="491"/>
      <c r="C43" s="371"/>
      <c r="D43" s="371"/>
      <c r="E43" s="541"/>
      <c r="F43" s="541"/>
      <c r="G43" s="541"/>
      <c r="H43" s="542"/>
      <c r="I43" s="542"/>
      <c r="J43" s="542"/>
      <c r="K43" s="542"/>
      <c r="L43" s="271"/>
      <c r="M43" s="271"/>
      <c r="N43" s="271"/>
      <c r="O43" s="491"/>
      <c r="P43" s="491"/>
      <c r="Q43" s="491"/>
    </row>
    <row r="44" spans="2:17" x14ac:dyDescent="0.25">
      <c r="B44" s="491"/>
      <c r="C44" s="371"/>
      <c r="D44" s="371"/>
      <c r="E44" s="541"/>
      <c r="F44" s="541"/>
      <c r="G44" s="541"/>
      <c r="H44" s="542"/>
      <c r="I44" s="542"/>
      <c r="J44" s="542"/>
      <c r="K44" s="542"/>
      <c r="L44" s="271"/>
      <c r="M44" s="271"/>
      <c r="N44" s="271"/>
      <c r="O44" s="491"/>
      <c r="P44" s="491"/>
      <c r="Q44" s="491"/>
    </row>
    <row r="45" spans="2:17" x14ac:dyDescent="0.25">
      <c r="B45" s="491"/>
      <c r="C45" s="371"/>
      <c r="D45" s="371"/>
      <c r="E45" s="541"/>
      <c r="F45" s="541"/>
      <c r="G45" s="541"/>
      <c r="H45" s="542"/>
      <c r="I45" s="542"/>
      <c r="J45" s="542"/>
      <c r="K45" s="542"/>
      <c r="L45" s="271"/>
      <c r="M45" s="271"/>
      <c r="N45" s="271"/>
      <c r="O45" s="491"/>
      <c r="P45" s="491"/>
      <c r="Q45" s="491"/>
    </row>
    <row r="46" spans="2:17" x14ac:dyDescent="0.25">
      <c r="B46" s="491"/>
      <c r="C46" s="371"/>
      <c r="D46" s="371"/>
      <c r="E46" s="541"/>
      <c r="F46" s="541"/>
      <c r="G46" s="541"/>
      <c r="H46" s="542"/>
      <c r="I46" s="542"/>
      <c r="J46" s="542"/>
      <c r="K46" s="542"/>
      <c r="L46" s="271"/>
      <c r="M46" s="271"/>
      <c r="N46" s="271"/>
      <c r="O46" s="491"/>
      <c r="P46" s="491"/>
      <c r="Q46" s="491"/>
    </row>
    <row r="47" spans="2:17" x14ac:dyDescent="0.25">
      <c r="B47" s="491"/>
      <c r="C47" s="371"/>
      <c r="D47" s="371"/>
      <c r="E47" s="541"/>
      <c r="F47" s="541"/>
      <c r="G47" s="541"/>
      <c r="H47" s="542"/>
      <c r="I47" s="542"/>
      <c r="J47" s="542"/>
      <c r="K47" s="542"/>
      <c r="L47" s="271"/>
      <c r="M47" s="271"/>
      <c r="N47" s="271"/>
      <c r="O47" s="491"/>
      <c r="P47" s="491"/>
      <c r="Q47" s="491"/>
    </row>
    <row r="48" spans="2:17" x14ac:dyDescent="0.25">
      <c r="B48" s="491"/>
      <c r="C48" s="491"/>
      <c r="D48" s="491"/>
      <c r="E48" s="541"/>
      <c r="F48" s="541"/>
      <c r="G48" s="541"/>
      <c r="H48" s="270"/>
      <c r="I48" s="270"/>
      <c r="J48" s="270"/>
      <c r="K48" s="270"/>
      <c r="L48" s="271"/>
      <c r="M48" s="271"/>
      <c r="N48" s="271"/>
      <c r="O48" s="491"/>
      <c r="P48" s="491"/>
      <c r="Q48" s="491"/>
    </row>
    <row r="49" spans="2:17" x14ac:dyDescent="0.25">
      <c r="B49" s="491"/>
      <c r="C49" s="491"/>
      <c r="D49" s="491"/>
      <c r="E49" s="541"/>
      <c r="F49" s="541"/>
      <c r="G49" s="541"/>
      <c r="H49" s="270"/>
      <c r="I49" s="270"/>
      <c r="J49" s="270"/>
      <c r="K49" s="270"/>
      <c r="L49" s="271"/>
      <c r="M49" s="271"/>
      <c r="N49" s="271"/>
      <c r="O49" s="491"/>
      <c r="P49" s="491"/>
      <c r="Q49" s="491"/>
    </row>
    <row r="50" spans="2:17" x14ac:dyDescent="0.25">
      <c r="B50" s="491"/>
      <c r="C50" s="491"/>
      <c r="D50" s="491"/>
      <c r="E50" s="541"/>
      <c r="F50" s="541"/>
      <c r="G50" s="541"/>
      <c r="H50" s="270"/>
      <c r="I50" s="270"/>
      <c r="J50" s="270"/>
      <c r="K50" s="270"/>
      <c r="L50" s="271"/>
      <c r="M50" s="271"/>
      <c r="N50" s="271"/>
      <c r="O50" s="491"/>
      <c r="P50" s="491"/>
      <c r="Q50" s="491"/>
    </row>
    <row r="51" spans="2:17" x14ac:dyDescent="0.25">
      <c r="B51" s="491"/>
      <c r="C51" s="491"/>
      <c r="D51" s="491"/>
      <c r="E51" s="541"/>
      <c r="F51" s="541"/>
      <c r="G51" s="541"/>
      <c r="H51" s="270"/>
      <c r="I51" s="270"/>
      <c r="J51" s="270"/>
      <c r="K51" s="270"/>
      <c r="L51" s="271"/>
      <c r="M51" s="271"/>
      <c r="N51" s="271"/>
      <c r="O51" s="491"/>
      <c r="P51" s="491"/>
      <c r="Q51" s="491"/>
    </row>
    <row r="52" spans="2:17" x14ac:dyDescent="0.25">
      <c r="B52" s="491"/>
      <c r="C52" s="491"/>
      <c r="D52" s="491"/>
      <c r="E52" s="541"/>
      <c r="F52" s="541"/>
      <c r="G52" s="541"/>
      <c r="H52" s="270"/>
      <c r="I52" s="270"/>
      <c r="J52" s="270"/>
      <c r="K52" s="270"/>
      <c r="L52" s="271"/>
      <c r="M52" s="271"/>
      <c r="N52" s="271"/>
      <c r="O52" s="491"/>
      <c r="P52" s="491"/>
      <c r="Q52" s="491"/>
    </row>
    <row r="53" spans="2:17" x14ac:dyDescent="0.25">
      <c r="B53" s="491"/>
      <c r="C53" s="491"/>
      <c r="D53" s="491"/>
      <c r="E53" s="541"/>
      <c r="F53" s="541"/>
      <c r="G53" s="541"/>
      <c r="H53" s="270"/>
      <c r="I53" s="270"/>
      <c r="J53" s="270"/>
      <c r="K53" s="270"/>
      <c r="L53" s="271"/>
      <c r="M53" s="271"/>
      <c r="N53" s="271"/>
      <c r="O53" s="491"/>
      <c r="P53" s="491"/>
      <c r="Q53" s="491"/>
    </row>
    <row r="54" spans="2:17" x14ac:dyDescent="0.25">
      <c r="B54" s="491"/>
      <c r="C54" s="491"/>
      <c r="D54" s="491"/>
      <c r="E54" s="541"/>
      <c r="F54" s="541"/>
      <c r="G54" s="541"/>
      <c r="H54" s="270"/>
      <c r="I54" s="270"/>
      <c r="J54" s="270"/>
      <c r="K54" s="270"/>
      <c r="L54" s="271"/>
      <c r="M54" s="271"/>
      <c r="N54" s="271"/>
      <c r="O54" s="491"/>
      <c r="P54" s="491"/>
      <c r="Q54" s="491"/>
    </row>
    <row r="55" spans="2:17" x14ac:dyDescent="0.25">
      <c r="B55" s="491"/>
      <c r="C55" s="491"/>
      <c r="D55" s="491"/>
      <c r="E55" s="541"/>
      <c r="F55" s="541"/>
      <c r="G55" s="541"/>
      <c r="H55" s="270"/>
      <c r="I55" s="270"/>
      <c r="J55" s="270"/>
      <c r="K55" s="270"/>
      <c r="L55" s="271"/>
      <c r="M55" s="271"/>
      <c r="N55" s="271"/>
      <c r="O55" s="491"/>
      <c r="P55" s="491"/>
      <c r="Q55" s="491"/>
    </row>
    <row r="56" spans="2:17" x14ac:dyDescent="0.25">
      <c r="B56" s="491"/>
      <c r="C56" s="491"/>
      <c r="D56" s="491"/>
      <c r="E56" s="541"/>
      <c r="F56" s="541"/>
      <c r="G56" s="541"/>
      <c r="H56" s="270"/>
      <c r="I56" s="270"/>
      <c r="J56" s="270"/>
      <c r="K56" s="270"/>
      <c r="L56" s="271"/>
      <c r="M56" s="271"/>
      <c r="N56" s="271"/>
      <c r="O56" s="491"/>
      <c r="P56" s="491"/>
      <c r="Q56" s="491"/>
    </row>
    <row r="57" spans="2:17" x14ac:dyDescent="0.25">
      <c r="B57" s="491"/>
      <c r="C57" s="491"/>
      <c r="D57" s="491"/>
      <c r="E57" s="541"/>
      <c r="F57" s="541"/>
      <c r="G57" s="541"/>
      <c r="H57" s="270"/>
      <c r="I57" s="270"/>
      <c r="J57" s="270"/>
      <c r="K57" s="270"/>
      <c r="L57" s="271"/>
      <c r="M57" s="271"/>
      <c r="N57" s="271"/>
      <c r="O57" s="491"/>
      <c r="P57" s="491"/>
      <c r="Q57" s="491"/>
    </row>
    <row r="58" spans="2:17" x14ac:dyDescent="0.25">
      <c r="B58" s="491"/>
      <c r="C58" s="491"/>
      <c r="D58" s="491"/>
      <c r="E58" s="541"/>
      <c r="F58" s="541"/>
      <c r="G58" s="541"/>
      <c r="H58" s="270"/>
      <c r="I58" s="270"/>
      <c r="J58" s="270"/>
      <c r="K58" s="270"/>
      <c r="L58" s="271"/>
      <c r="M58" s="271"/>
      <c r="N58" s="271"/>
      <c r="O58" s="491"/>
      <c r="P58" s="491"/>
      <c r="Q58" s="491"/>
    </row>
    <row r="59" spans="2:17" x14ac:dyDescent="0.25">
      <c r="B59" s="491"/>
      <c r="C59" s="491"/>
      <c r="D59" s="491"/>
      <c r="E59" s="541"/>
      <c r="F59" s="541"/>
      <c r="G59" s="541"/>
      <c r="H59" s="270"/>
      <c r="I59" s="270"/>
      <c r="J59" s="270"/>
      <c r="K59" s="270"/>
      <c r="L59" s="271"/>
      <c r="M59" s="271"/>
      <c r="N59" s="271"/>
      <c r="O59" s="491"/>
      <c r="P59" s="491"/>
      <c r="Q59" s="491"/>
    </row>
    <row r="60" spans="2:17" x14ac:dyDescent="0.25">
      <c r="B60" s="491"/>
      <c r="C60" s="491"/>
      <c r="D60" s="491"/>
      <c r="E60" s="541"/>
      <c r="F60" s="541"/>
      <c r="G60" s="541"/>
      <c r="H60" s="270"/>
      <c r="I60" s="270"/>
      <c r="J60" s="270"/>
      <c r="K60" s="270"/>
      <c r="L60" s="271"/>
      <c r="M60" s="271"/>
      <c r="N60" s="271"/>
      <c r="O60" s="491"/>
      <c r="P60" s="491"/>
      <c r="Q60" s="491"/>
    </row>
    <row r="61" spans="2:17" x14ac:dyDescent="0.25">
      <c r="B61" s="491"/>
      <c r="C61" s="491"/>
      <c r="D61" s="491"/>
      <c r="E61" s="541"/>
      <c r="F61" s="541"/>
      <c r="G61" s="541"/>
      <c r="H61" s="270"/>
      <c r="I61" s="270"/>
      <c r="J61" s="270"/>
      <c r="K61" s="270"/>
      <c r="L61" s="271"/>
      <c r="M61" s="271"/>
      <c r="N61" s="271"/>
      <c r="O61" s="491"/>
      <c r="P61" s="491"/>
      <c r="Q61" s="491"/>
    </row>
    <row r="62" spans="2:17" x14ac:dyDescent="0.25">
      <c r="B62" s="491"/>
      <c r="C62" s="491"/>
      <c r="D62" s="491"/>
      <c r="E62" s="541"/>
      <c r="F62" s="541"/>
      <c r="G62" s="541"/>
      <c r="H62" s="270"/>
      <c r="I62" s="270"/>
      <c r="J62" s="270"/>
      <c r="K62" s="270"/>
      <c r="L62" s="271"/>
      <c r="M62" s="271"/>
      <c r="N62" s="271"/>
      <c r="O62" s="491"/>
      <c r="P62" s="491"/>
      <c r="Q62" s="491"/>
    </row>
    <row r="63" spans="2:17" x14ac:dyDescent="0.25">
      <c r="B63" s="491"/>
      <c r="C63" s="491"/>
      <c r="D63" s="491"/>
      <c r="E63" s="541"/>
      <c r="F63" s="541"/>
      <c r="G63" s="541"/>
      <c r="H63" s="270"/>
      <c r="I63" s="270"/>
      <c r="J63" s="270"/>
      <c r="K63" s="270"/>
      <c r="L63" s="271"/>
      <c r="M63" s="271"/>
      <c r="N63" s="271"/>
      <c r="O63" s="491"/>
      <c r="P63" s="491"/>
      <c r="Q63" s="491"/>
    </row>
    <row r="64" spans="2:17" x14ac:dyDescent="0.25">
      <c r="B64" s="491"/>
      <c r="C64" s="491"/>
      <c r="D64" s="491"/>
      <c r="E64" s="541"/>
      <c r="F64" s="541"/>
      <c r="G64" s="541"/>
      <c r="H64" s="270"/>
      <c r="I64" s="270"/>
      <c r="J64" s="270"/>
      <c r="K64" s="270"/>
      <c r="L64" s="271"/>
      <c r="M64" s="271"/>
      <c r="N64" s="271"/>
      <c r="O64" s="491"/>
      <c r="P64" s="491"/>
      <c r="Q64" s="491"/>
    </row>
    <row r="65" spans="2:17" x14ac:dyDescent="0.25">
      <c r="B65" s="491"/>
      <c r="C65" s="491"/>
      <c r="D65" s="491"/>
      <c r="E65" s="541"/>
      <c r="F65" s="541"/>
      <c r="G65" s="541"/>
      <c r="H65" s="270"/>
      <c r="I65" s="270"/>
      <c r="J65" s="270"/>
      <c r="K65" s="270"/>
      <c r="L65" s="271"/>
      <c r="M65" s="271"/>
      <c r="N65" s="271"/>
      <c r="O65" s="491"/>
      <c r="P65" s="491"/>
      <c r="Q65" s="491"/>
    </row>
    <row r="66" spans="2:17" x14ac:dyDescent="0.25">
      <c r="B66" s="491"/>
      <c r="C66" s="371"/>
      <c r="D66" s="371"/>
      <c r="E66" s="269"/>
      <c r="F66" s="269"/>
      <c r="G66" s="541"/>
      <c r="H66" s="542"/>
      <c r="I66" s="542"/>
      <c r="J66" s="542"/>
      <c r="K66" s="542"/>
      <c r="L66" s="271"/>
      <c r="M66" s="271"/>
      <c r="N66" s="271"/>
      <c r="O66" s="491"/>
      <c r="P66" s="491"/>
      <c r="Q66" s="491"/>
    </row>
    <row r="67" spans="2:17" x14ac:dyDescent="0.25">
      <c r="B67" s="491"/>
      <c r="C67" s="371"/>
      <c r="D67" s="371"/>
      <c r="E67" s="269"/>
      <c r="F67" s="269"/>
      <c r="G67" s="541"/>
      <c r="H67" s="542"/>
      <c r="I67" s="542"/>
      <c r="J67" s="542"/>
      <c r="K67" s="542"/>
      <c r="L67" s="271"/>
      <c r="M67" s="271"/>
      <c r="N67" s="271"/>
      <c r="O67" s="491"/>
      <c r="P67" s="491"/>
      <c r="Q67" s="491"/>
    </row>
    <row r="68" spans="2:17" x14ac:dyDescent="0.25">
      <c r="B68" s="491"/>
      <c r="C68" s="371"/>
      <c r="D68" s="371"/>
      <c r="E68" s="269"/>
      <c r="F68" s="269"/>
      <c r="G68" s="541"/>
      <c r="H68" s="542"/>
      <c r="I68" s="542"/>
      <c r="J68" s="542"/>
      <c r="K68" s="542"/>
      <c r="L68" s="271"/>
      <c r="M68" s="271"/>
      <c r="N68" s="271"/>
      <c r="O68" s="491"/>
      <c r="P68" s="491"/>
      <c r="Q68" s="491"/>
    </row>
    <row r="69" spans="2:17" x14ac:dyDescent="0.25">
      <c r="B69" s="491"/>
      <c r="C69" s="371"/>
      <c r="D69" s="371"/>
      <c r="E69" s="269"/>
      <c r="F69" s="269"/>
      <c r="G69" s="541"/>
      <c r="H69" s="542"/>
      <c r="I69" s="542"/>
      <c r="J69" s="542"/>
      <c r="K69" s="542"/>
      <c r="L69" s="271"/>
      <c r="M69" s="271"/>
      <c r="N69" s="271"/>
      <c r="O69" s="491"/>
      <c r="P69" s="491"/>
      <c r="Q69" s="491"/>
    </row>
    <row r="70" spans="2:17" x14ac:dyDescent="0.25">
      <c r="B70" s="491"/>
      <c r="C70" s="371"/>
      <c r="D70" s="371"/>
      <c r="E70" s="269"/>
      <c r="F70" s="269"/>
      <c r="G70" s="541"/>
      <c r="H70" s="542"/>
      <c r="I70" s="542"/>
      <c r="J70" s="542"/>
      <c r="K70" s="542"/>
      <c r="L70" s="271"/>
      <c r="M70" s="271"/>
      <c r="N70" s="271"/>
      <c r="O70" s="491"/>
      <c r="P70" s="491"/>
      <c r="Q70" s="491"/>
    </row>
    <row r="71" spans="2:17" x14ac:dyDescent="0.25">
      <c r="B71" s="491"/>
      <c r="C71" s="371"/>
      <c r="D71" s="371"/>
      <c r="E71" s="269"/>
      <c r="F71" s="269"/>
      <c r="G71" s="541"/>
      <c r="H71" s="542"/>
      <c r="I71" s="542"/>
      <c r="J71" s="542"/>
      <c r="K71" s="542"/>
      <c r="L71" s="271"/>
      <c r="M71" s="271"/>
      <c r="N71" s="271"/>
      <c r="O71" s="491"/>
      <c r="P71" s="491"/>
      <c r="Q71" s="491"/>
    </row>
    <row r="72" spans="2:17" x14ac:dyDescent="0.25">
      <c r="B72" s="491"/>
      <c r="C72" s="491"/>
      <c r="D72" s="491"/>
      <c r="E72" s="541"/>
      <c r="F72" s="541"/>
      <c r="G72" s="541"/>
      <c r="H72" s="270"/>
      <c r="I72" s="270"/>
      <c r="J72" s="270"/>
      <c r="K72" s="270"/>
      <c r="L72" s="271"/>
      <c r="M72" s="271"/>
      <c r="N72" s="271"/>
      <c r="O72" s="491"/>
      <c r="P72" s="491"/>
      <c r="Q72" s="491"/>
    </row>
    <row r="73" spans="2:17" x14ac:dyDescent="0.25">
      <c r="B73" s="491"/>
      <c r="C73" s="491"/>
      <c r="D73" s="491"/>
      <c r="E73" s="541"/>
      <c r="F73" s="541"/>
      <c r="G73" s="541"/>
      <c r="H73" s="270"/>
      <c r="I73" s="270"/>
      <c r="J73" s="270"/>
      <c r="K73" s="270"/>
      <c r="L73" s="271"/>
      <c r="M73" s="271"/>
      <c r="N73" s="271"/>
      <c r="O73" s="491"/>
      <c r="P73" s="491"/>
      <c r="Q73" s="491"/>
    </row>
    <row r="74" spans="2:17" x14ac:dyDescent="0.25">
      <c r="B74" s="491"/>
      <c r="C74" s="491"/>
      <c r="D74" s="491"/>
      <c r="E74" s="541"/>
      <c r="F74" s="541"/>
      <c r="G74" s="541"/>
      <c r="H74" s="270"/>
      <c r="I74" s="270"/>
      <c r="J74" s="270"/>
      <c r="K74" s="270"/>
      <c r="L74" s="271"/>
      <c r="M74" s="271"/>
      <c r="N74" s="271"/>
      <c r="O74" s="491"/>
      <c r="P74" s="491"/>
      <c r="Q74" s="491"/>
    </row>
    <row r="75" spans="2:17" x14ac:dyDescent="0.25">
      <c r="B75" s="491"/>
      <c r="C75" s="491"/>
      <c r="D75" s="491"/>
      <c r="E75" s="541"/>
      <c r="F75" s="541"/>
      <c r="G75" s="541"/>
      <c r="H75" s="270"/>
      <c r="I75" s="270"/>
      <c r="J75" s="270"/>
      <c r="K75" s="270"/>
      <c r="L75" s="271"/>
      <c r="M75" s="271"/>
      <c r="N75" s="271"/>
      <c r="O75" s="491"/>
      <c r="P75" s="491"/>
      <c r="Q75" s="491"/>
    </row>
    <row r="76" spans="2:17" x14ac:dyDescent="0.25">
      <c r="B76" s="491"/>
      <c r="C76" s="491"/>
      <c r="D76" s="491"/>
      <c r="E76" s="541"/>
      <c r="F76" s="541"/>
      <c r="G76" s="541"/>
      <c r="H76" s="270"/>
      <c r="I76" s="270"/>
      <c r="J76" s="270"/>
      <c r="K76" s="270"/>
      <c r="L76" s="271"/>
      <c r="M76" s="271"/>
      <c r="N76" s="271"/>
      <c r="O76" s="491"/>
      <c r="P76" s="491"/>
      <c r="Q76" s="491"/>
    </row>
    <row r="77" spans="2:17" x14ac:dyDescent="0.25">
      <c r="B77" s="491"/>
      <c r="C77" s="491"/>
      <c r="D77" s="491"/>
      <c r="E77" s="541"/>
      <c r="F77" s="541"/>
      <c r="G77" s="541"/>
      <c r="H77" s="270"/>
      <c r="I77" s="270"/>
      <c r="J77" s="270"/>
      <c r="K77" s="270"/>
      <c r="L77" s="271"/>
      <c r="M77" s="271"/>
      <c r="N77" s="271"/>
      <c r="O77" s="491"/>
      <c r="P77" s="491"/>
      <c r="Q77" s="491"/>
    </row>
    <row r="78" spans="2:17" x14ac:dyDescent="0.25">
      <c r="B78" s="491"/>
      <c r="C78" s="491"/>
      <c r="D78" s="491"/>
      <c r="E78" s="541"/>
      <c r="F78" s="541"/>
      <c r="G78" s="541"/>
      <c r="H78" s="270"/>
      <c r="I78" s="270"/>
      <c r="J78" s="270"/>
      <c r="K78" s="270"/>
      <c r="L78" s="271"/>
      <c r="M78" s="271"/>
      <c r="N78" s="271"/>
      <c r="O78" s="491"/>
      <c r="P78" s="491"/>
      <c r="Q78" s="491"/>
    </row>
    <row r="79" spans="2:17" x14ac:dyDescent="0.25">
      <c r="B79" s="491"/>
      <c r="C79" s="491"/>
      <c r="D79" s="491"/>
      <c r="E79" s="541"/>
      <c r="F79" s="541"/>
      <c r="G79" s="541"/>
      <c r="H79" s="270"/>
      <c r="I79" s="270"/>
      <c r="J79" s="270"/>
      <c r="K79" s="270"/>
      <c r="L79" s="271"/>
      <c r="M79" s="271"/>
      <c r="N79" s="271"/>
      <c r="O79" s="491"/>
      <c r="P79" s="491"/>
      <c r="Q79" s="491"/>
    </row>
    <row r="80" spans="2:17" x14ac:dyDescent="0.25">
      <c r="B80" s="491"/>
      <c r="C80" s="491"/>
      <c r="D80" s="491"/>
      <c r="E80" s="541"/>
      <c r="F80" s="541"/>
      <c r="G80" s="541"/>
      <c r="H80" s="270"/>
      <c r="I80" s="270"/>
      <c r="J80" s="270"/>
      <c r="K80" s="270"/>
      <c r="L80" s="271"/>
      <c r="M80" s="271"/>
      <c r="N80" s="271"/>
      <c r="O80" s="491"/>
      <c r="P80" s="491"/>
      <c r="Q80" s="491"/>
    </row>
    <row r="81" spans="2:17" x14ac:dyDescent="0.25">
      <c r="B81" s="491"/>
      <c r="C81" s="491"/>
      <c r="D81" s="491"/>
      <c r="E81" s="541"/>
      <c r="F81" s="541"/>
      <c r="G81" s="541"/>
      <c r="H81" s="270"/>
      <c r="I81" s="270"/>
      <c r="J81" s="270"/>
      <c r="K81" s="270"/>
      <c r="L81" s="271"/>
      <c r="M81" s="271"/>
      <c r="N81" s="271"/>
      <c r="O81" s="491"/>
      <c r="P81" s="491"/>
      <c r="Q81" s="491"/>
    </row>
    <row r="82" spans="2:17" x14ac:dyDescent="0.25">
      <c r="B82" s="491"/>
      <c r="C82" s="491"/>
      <c r="D82" s="491"/>
      <c r="E82" s="541"/>
      <c r="F82" s="541"/>
      <c r="G82" s="541"/>
      <c r="H82" s="270"/>
      <c r="I82" s="270"/>
      <c r="J82" s="270"/>
      <c r="K82" s="270"/>
      <c r="L82" s="271"/>
      <c r="M82" s="271"/>
      <c r="N82" s="271"/>
      <c r="O82" s="491"/>
      <c r="P82" s="491"/>
      <c r="Q82" s="491"/>
    </row>
    <row r="83" spans="2:17" x14ac:dyDescent="0.25">
      <c r="B83" s="491"/>
      <c r="C83" s="491"/>
      <c r="D83" s="491"/>
      <c r="E83" s="541"/>
      <c r="F83" s="541"/>
      <c r="G83" s="541"/>
      <c r="H83" s="270"/>
      <c r="I83" s="270"/>
      <c r="J83" s="270"/>
      <c r="K83" s="270"/>
      <c r="L83" s="271"/>
      <c r="M83" s="271"/>
      <c r="N83" s="271"/>
      <c r="O83" s="491"/>
      <c r="P83" s="491"/>
      <c r="Q83" s="491"/>
    </row>
    <row r="84" spans="2:17" x14ac:dyDescent="0.25">
      <c r="B84" s="491"/>
      <c r="C84" s="491"/>
      <c r="D84" s="491"/>
      <c r="E84" s="541"/>
      <c r="F84" s="541"/>
      <c r="G84" s="541"/>
      <c r="H84" s="270"/>
      <c r="I84" s="270"/>
      <c r="J84" s="270"/>
      <c r="K84" s="270"/>
      <c r="L84" s="271"/>
      <c r="M84" s="271"/>
      <c r="N84" s="271"/>
      <c r="O84" s="491"/>
      <c r="P84" s="491"/>
      <c r="Q84" s="491"/>
    </row>
    <row r="85" spans="2:17" x14ac:dyDescent="0.25">
      <c r="B85" s="491"/>
      <c r="C85" s="491"/>
      <c r="D85" s="491"/>
      <c r="E85" s="541"/>
      <c r="F85" s="541"/>
      <c r="G85" s="541"/>
      <c r="H85" s="270"/>
      <c r="I85" s="270"/>
      <c r="J85" s="270"/>
      <c r="K85" s="270"/>
      <c r="L85" s="271"/>
      <c r="M85" s="271"/>
      <c r="N85" s="271"/>
      <c r="O85" s="491"/>
      <c r="P85" s="491"/>
      <c r="Q85" s="491"/>
    </row>
    <row r="86" spans="2:17" x14ac:dyDescent="0.25">
      <c r="B86" s="491"/>
      <c r="C86" s="491"/>
      <c r="D86" s="491"/>
      <c r="E86" s="541"/>
      <c r="F86" s="541"/>
      <c r="G86" s="541"/>
      <c r="H86" s="270"/>
      <c r="I86" s="270"/>
      <c r="J86" s="270"/>
      <c r="K86" s="270"/>
      <c r="L86" s="271"/>
      <c r="M86" s="271"/>
      <c r="N86" s="271"/>
      <c r="O86" s="491"/>
      <c r="P86" s="491"/>
      <c r="Q86" s="491"/>
    </row>
    <row r="87" spans="2:17" x14ac:dyDescent="0.25">
      <c r="B87" s="491"/>
      <c r="C87" s="491"/>
      <c r="D87" s="491"/>
      <c r="E87" s="541"/>
      <c r="F87" s="541"/>
      <c r="G87" s="541"/>
      <c r="H87" s="270"/>
      <c r="I87" s="270"/>
      <c r="J87" s="270"/>
      <c r="K87" s="270"/>
      <c r="L87" s="271"/>
      <c r="M87" s="271"/>
      <c r="N87" s="271"/>
      <c r="O87" s="491"/>
      <c r="P87" s="491"/>
      <c r="Q87" s="491"/>
    </row>
    <row r="88" spans="2:17" x14ac:dyDescent="0.25">
      <c r="B88" s="491"/>
      <c r="C88" s="491"/>
      <c r="D88" s="491"/>
      <c r="E88" s="541"/>
      <c r="F88" s="541"/>
      <c r="G88" s="541"/>
      <c r="H88" s="270"/>
      <c r="I88" s="270"/>
      <c r="J88" s="270"/>
      <c r="K88" s="270"/>
      <c r="L88" s="271"/>
      <c r="M88" s="271"/>
      <c r="N88" s="271"/>
      <c r="O88" s="491"/>
      <c r="P88" s="491"/>
      <c r="Q88" s="491"/>
    </row>
    <row r="89" spans="2:17" x14ac:dyDescent="0.25">
      <c r="B89" s="491"/>
      <c r="C89" s="491"/>
      <c r="D89" s="491"/>
      <c r="E89" s="541"/>
      <c r="F89" s="541"/>
      <c r="G89" s="541"/>
      <c r="H89" s="270"/>
      <c r="I89" s="270"/>
      <c r="J89" s="270"/>
      <c r="K89" s="270"/>
      <c r="L89" s="271"/>
      <c r="M89" s="271"/>
      <c r="N89" s="271"/>
      <c r="O89" s="491"/>
      <c r="P89" s="491"/>
      <c r="Q89" s="491"/>
    </row>
    <row r="90" spans="2:17" x14ac:dyDescent="0.25">
      <c r="B90" s="491"/>
      <c r="C90" s="371"/>
      <c r="D90" s="371"/>
      <c r="E90" s="541"/>
      <c r="F90" s="541"/>
      <c r="G90" s="541"/>
      <c r="H90" s="542"/>
      <c r="I90" s="542"/>
      <c r="J90" s="542"/>
      <c r="K90" s="542"/>
      <c r="L90" s="271"/>
      <c r="M90" s="271"/>
      <c r="N90" s="271"/>
      <c r="O90" s="491"/>
      <c r="P90" s="491"/>
      <c r="Q90" s="491"/>
    </row>
    <row r="91" spans="2:17" x14ac:dyDescent="0.25">
      <c r="B91" s="491"/>
      <c r="C91" s="371"/>
      <c r="D91" s="371"/>
      <c r="E91" s="541"/>
      <c r="F91" s="541"/>
      <c r="G91" s="541"/>
      <c r="H91" s="542"/>
      <c r="I91" s="542"/>
      <c r="J91" s="542"/>
      <c r="K91" s="542"/>
      <c r="L91" s="271"/>
      <c r="M91" s="271"/>
      <c r="N91" s="271"/>
      <c r="O91" s="491"/>
      <c r="P91" s="491"/>
      <c r="Q91" s="491"/>
    </row>
    <row r="92" spans="2:17" x14ac:dyDescent="0.25">
      <c r="B92" s="491"/>
      <c r="C92" s="371"/>
      <c r="D92" s="371"/>
      <c r="E92" s="541"/>
      <c r="F92" s="541"/>
      <c r="G92" s="541"/>
      <c r="H92" s="542"/>
      <c r="I92" s="542"/>
      <c r="J92" s="542"/>
      <c r="K92" s="542"/>
      <c r="L92" s="271"/>
      <c r="M92" s="271"/>
      <c r="N92" s="271"/>
      <c r="O92" s="491"/>
      <c r="P92" s="491"/>
      <c r="Q92" s="491"/>
    </row>
    <row r="93" spans="2:17" x14ac:dyDescent="0.25">
      <c r="B93" s="491"/>
      <c r="C93" s="371"/>
      <c r="D93" s="371"/>
      <c r="E93" s="541"/>
      <c r="F93" s="541"/>
      <c r="G93" s="541"/>
      <c r="H93" s="542"/>
      <c r="I93" s="542"/>
      <c r="J93" s="542"/>
      <c r="K93" s="542"/>
      <c r="L93" s="271"/>
      <c r="M93" s="271"/>
      <c r="N93" s="271"/>
      <c r="O93" s="491"/>
      <c r="P93" s="491"/>
      <c r="Q93" s="491"/>
    </row>
    <row r="94" spans="2:17" x14ac:dyDescent="0.25">
      <c r="B94" s="491"/>
      <c r="C94" s="371"/>
      <c r="D94" s="371"/>
      <c r="E94" s="541"/>
      <c r="F94" s="541"/>
      <c r="G94" s="541"/>
      <c r="H94" s="542"/>
      <c r="I94" s="542"/>
      <c r="J94" s="542"/>
      <c r="K94" s="542"/>
      <c r="L94" s="271"/>
      <c r="M94" s="271"/>
      <c r="N94" s="271"/>
      <c r="O94" s="491"/>
      <c r="P94" s="491"/>
      <c r="Q94" s="491"/>
    </row>
    <row r="95" spans="2:17" x14ac:dyDescent="0.25">
      <c r="B95" s="491"/>
      <c r="C95" s="371"/>
      <c r="D95" s="371"/>
      <c r="E95" s="541"/>
      <c r="F95" s="541"/>
      <c r="G95" s="541"/>
      <c r="H95" s="542"/>
      <c r="I95" s="542"/>
      <c r="J95" s="542"/>
      <c r="K95" s="542"/>
      <c r="L95" s="271"/>
      <c r="M95" s="271"/>
      <c r="N95" s="271"/>
      <c r="O95" s="491"/>
      <c r="P95" s="491"/>
      <c r="Q95" s="491"/>
    </row>
    <row r="96" spans="2:17" x14ac:dyDescent="0.25">
      <c r="B96" s="491"/>
      <c r="C96" s="491"/>
      <c r="D96" s="491"/>
      <c r="E96" s="541"/>
      <c r="F96" s="541"/>
      <c r="G96" s="541"/>
      <c r="H96" s="270"/>
      <c r="I96" s="270"/>
      <c r="J96" s="270"/>
      <c r="K96" s="270"/>
      <c r="L96" s="271"/>
      <c r="M96" s="271"/>
      <c r="N96" s="271"/>
      <c r="O96" s="491"/>
      <c r="P96" s="491"/>
      <c r="Q96" s="491"/>
    </row>
    <row r="97" spans="2:17" x14ac:dyDescent="0.25">
      <c r="B97" s="491"/>
      <c r="C97" s="491"/>
      <c r="D97" s="491"/>
      <c r="E97" s="541"/>
      <c r="F97" s="541"/>
      <c r="G97" s="541"/>
      <c r="H97" s="270"/>
      <c r="I97" s="270"/>
      <c r="J97" s="270"/>
      <c r="K97" s="270"/>
      <c r="L97" s="271"/>
      <c r="M97" s="271"/>
      <c r="N97" s="271"/>
      <c r="O97" s="491"/>
      <c r="P97" s="491"/>
      <c r="Q97" s="491"/>
    </row>
    <row r="98" spans="2:17" x14ac:dyDescent="0.25">
      <c r="B98" s="491"/>
      <c r="C98" s="491"/>
      <c r="D98" s="491"/>
      <c r="E98" s="541"/>
      <c r="F98" s="541"/>
      <c r="G98" s="541"/>
      <c r="H98" s="270"/>
      <c r="I98" s="270"/>
      <c r="J98" s="270"/>
      <c r="K98" s="270"/>
      <c r="L98" s="271"/>
      <c r="M98" s="271"/>
      <c r="N98" s="271"/>
      <c r="O98" s="491"/>
      <c r="P98" s="491"/>
      <c r="Q98" s="491"/>
    </row>
    <row r="99" spans="2:17" x14ac:dyDescent="0.25">
      <c r="B99" s="491"/>
      <c r="C99" s="491"/>
      <c r="D99" s="491"/>
      <c r="E99" s="541"/>
      <c r="F99" s="541"/>
      <c r="G99" s="541"/>
      <c r="H99" s="542"/>
      <c r="I99" s="542"/>
      <c r="J99" s="542"/>
      <c r="K99" s="542"/>
      <c r="L99" s="271"/>
      <c r="M99" s="271"/>
      <c r="N99" s="271"/>
      <c r="O99" s="491"/>
      <c r="P99" s="491"/>
      <c r="Q99" s="491"/>
    </row>
    <row r="100" spans="2:17" x14ac:dyDescent="0.25">
      <c r="B100" s="491"/>
      <c r="C100" s="491"/>
      <c r="D100" s="491"/>
      <c r="E100" s="541"/>
      <c r="F100" s="541"/>
      <c r="G100" s="541"/>
      <c r="H100" s="542"/>
      <c r="I100" s="542"/>
      <c r="J100" s="542"/>
      <c r="K100" s="542"/>
      <c r="L100" s="271"/>
      <c r="M100" s="271"/>
      <c r="N100" s="271"/>
      <c r="O100" s="491"/>
      <c r="P100" s="491"/>
      <c r="Q100" s="491"/>
    </row>
    <row r="101" spans="2:17" x14ac:dyDescent="0.25">
      <c r="B101" s="491"/>
      <c r="C101" s="491"/>
      <c r="D101" s="491"/>
      <c r="E101" s="541"/>
      <c r="F101" s="541"/>
      <c r="G101" s="541"/>
      <c r="H101" s="542"/>
      <c r="I101" s="542"/>
      <c r="J101" s="542"/>
      <c r="K101" s="542"/>
      <c r="L101" s="271"/>
      <c r="M101" s="271"/>
      <c r="N101" s="271"/>
      <c r="O101" s="491"/>
      <c r="P101" s="491"/>
      <c r="Q101" s="491"/>
    </row>
    <row r="102" spans="2:17" x14ac:dyDescent="0.25">
      <c r="B102" s="491"/>
      <c r="C102" s="491"/>
      <c r="D102" s="491"/>
      <c r="E102" s="541"/>
      <c r="F102" s="541"/>
      <c r="G102" s="541"/>
      <c r="H102" s="270"/>
      <c r="I102" s="270"/>
      <c r="J102" s="270"/>
      <c r="K102" s="270"/>
      <c r="L102" s="271"/>
      <c r="M102" s="271"/>
      <c r="N102" s="271"/>
      <c r="O102" s="491"/>
      <c r="P102" s="491"/>
      <c r="Q102" s="491"/>
    </row>
    <row r="103" spans="2:17" x14ac:dyDescent="0.25">
      <c r="B103" s="491"/>
      <c r="C103" s="491"/>
      <c r="D103" s="491"/>
      <c r="E103" s="541"/>
      <c r="F103" s="541"/>
      <c r="G103" s="541"/>
      <c r="H103" s="270"/>
      <c r="I103" s="270"/>
      <c r="J103" s="270"/>
      <c r="K103" s="270"/>
      <c r="L103" s="271"/>
      <c r="M103" s="271"/>
      <c r="N103" s="271"/>
      <c r="O103" s="491"/>
      <c r="P103" s="491"/>
      <c r="Q103" s="491"/>
    </row>
    <row r="104" spans="2:17" x14ac:dyDescent="0.25">
      <c r="B104" s="491"/>
      <c r="C104" s="491"/>
      <c r="D104" s="491"/>
      <c r="E104" s="541"/>
      <c r="F104" s="541"/>
      <c r="G104" s="541"/>
      <c r="H104" s="270"/>
      <c r="I104" s="270"/>
      <c r="J104" s="270"/>
      <c r="K104" s="270"/>
      <c r="L104" s="271"/>
      <c r="M104" s="271"/>
      <c r="N104" s="271"/>
      <c r="O104" s="491"/>
      <c r="P104" s="491"/>
      <c r="Q104" s="491"/>
    </row>
    <row r="105" spans="2:17" x14ac:dyDescent="0.25">
      <c r="B105" s="491"/>
      <c r="C105" s="491"/>
      <c r="D105" s="491"/>
      <c r="E105" s="541"/>
      <c r="F105" s="541"/>
      <c r="G105" s="541"/>
      <c r="H105" s="270"/>
      <c r="I105" s="270"/>
      <c r="J105" s="270"/>
      <c r="K105" s="270"/>
      <c r="L105" s="271"/>
      <c r="M105" s="271"/>
      <c r="N105" s="271"/>
      <c r="O105" s="491"/>
      <c r="P105" s="491"/>
      <c r="Q105" s="491"/>
    </row>
    <row r="106" spans="2:17" x14ac:dyDescent="0.25">
      <c r="B106" s="491"/>
      <c r="C106" s="491"/>
      <c r="D106" s="491"/>
      <c r="E106" s="541"/>
      <c r="F106" s="541"/>
      <c r="G106" s="541"/>
      <c r="H106" s="270"/>
      <c r="I106" s="270"/>
      <c r="J106" s="270"/>
      <c r="K106" s="270"/>
      <c r="L106" s="271"/>
      <c r="M106" s="271"/>
      <c r="N106" s="271"/>
      <c r="O106" s="491"/>
      <c r="P106" s="491"/>
      <c r="Q106" s="491"/>
    </row>
    <row r="107" spans="2:17" x14ac:dyDescent="0.25">
      <c r="B107" s="491"/>
      <c r="C107" s="491"/>
      <c r="D107" s="491"/>
      <c r="E107" s="541"/>
      <c r="F107" s="541"/>
      <c r="G107" s="541"/>
      <c r="H107" s="270"/>
      <c r="I107" s="270"/>
      <c r="J107" s="270"/>
      <c r="K107" s="270"/>
      <c r="L107" s="271"/>
      <c r="M107" s="271"/>
      <c r="N107" s="271"/>
      <c r="O107" s="491"/>
      <c r="P107" s="491"/>
      <c r="Q107" s="491"/>
    </row>
    <row r="108" spans="2:17" x14ac:dyDescent="0.25">
      <c r="B108" s="491"/>
      <c r="C108" s="491"/>
      <c r="D108" s="491"/>
      <c r="E108" s="541"/>
      <c r="F108" s="541"/>
      <c r="G108" s="541"/>
      <c r="H108" s="270"/>
      <c r="I108" s="270"/>
      <c r="J108" s="270"/>
      <c r="K108" s="270"/>
      <c r="L108" s="271"/>
      <c r="M108" s="271"/>
      <c r="N108" s="271"/>
      <c r="O108" s="491"/>
      <c r="P108" s="491"/>
      <c r="Q108" s="491"/>
    </row>
    <row r="109" spans="2:17" x14ac:dyDescent="0.25">
      <c r="B109" s="491"/>
      <c r="C109" s="491"/>
      <c r="D109" s="491"/>
      <c r="E109" s="541"/>
      <c r="F109" s="541"/>
      <c r="G109" s="541"/>
      <c r="H109" s="270"/>
      <c r="I109" s="270"/>
      <c r="J109" s="270"/>
      <c r="K109" s="270"/>
      <c r="L109" s="271"/>
      <c r="M109" s="271"/>
      <c r="N109" s="271"/>
      <c r="O109" s="491"/>
      <c r="P109" s="491"/>
      <c r="Q109" s="491"/>
    </row>
    <row r="110" spans="2:17" x14ac:dyDescent="0.25">
      <c r="B110" s="491"/>
      <c r="C110" s="491"/>
      <c r="D110" s="491"/>
      <c r="E110" s="541"/>
      <c r="F110" s="541"/>
      <c r="G110" s="541"/>
      <c r="H110" s="270"/>
      <c r="I110" s="270"/>
      <c r="J110" s="270"/>
      <c r="K110" s="270"/>
      <c r="L110" s="271"/>
      <c r="M110" s="271"/>
      <c r="N110" s="271"/>
      <c r="O110" s="491"/>
      <c r="P110" s="491"/>
      <c r="Q110" s="491"/>
    </row>
    <row r="111" spans="2:17" x14ac:dyDescent="0.25">
      <c r="B111" s="491"/>
      <c r="C111" s="491"/>
      <c r="D111" s="491"/>
      <c r="E111" s="541"/>
      <c r="F111" s="541"/>
      <c r="G111" s="541"/>
      <c r="H111" s="270"/>
      <c r="I111" s="270"/>
      <c r="J111" s="270"/>
      <c r="K111" s="270"/>
      <c r="L111" s="271"/>
      <c r="M111" s="271"/>
      <c r="N111" s="271"/>
      <c r="O111" s="491"/>
      <c r="P111" s="491"/>
      <c r="Q111" s="491"/>
    </row>
    <row r="112" spans="2:17" x14ac:dyDescent="0.25">
      <c r="B112" s="491"/>
      <c r="C112" s="491"/>
      <c r="D112" s="491"/>
      <c r="E112" s="541"/>
      <c r="F112" s="541"/>
      <c r="G112" s="541"/>
      <c r="H112" s="270"/>
      <c r="I112" s="270"/>
      <c r="J112" s="270"/>
      <c r="K112" s="270"/>
      <c r="L112" s="271"/>
      <c r="M112" s="271"/>
      <c r="N112" s="271"/>
      <c r="O112" s="491"/>
      <c r="P112" s="491"/>
      <c r="Q112" s="491"/>
    </row>
    <row r="113" spans="2:17" x14ac:dyDescent="0.25">
      <c r="B113" s="491"/>
      <c r="C113" s="491"/>
      <c r="D113" s="491"/>
      <c r="E113" s="541"/>
      <c r="F113" s="541"/>
      <c r="G113" s="541"/>
      <c r="H113" s="270"/>
      <c r="I113" s="270"/>
      <c r="J113" s="270"/>
      <c r="K113" s="270"/>
      <c r="L113" s="271"/>
      <c r="M113" s="271"/>
      <c r="N113" s="271"/>
      <c r="O113" s="491"/>
      <c r="P113" s="491"/>
      <c r="Q113" s="491"/>
    </row>
    <row r="114" spans="2:17" x14ac:dyDescent="0.25">
      <c r="B114" s="491"/>
      <c r="C114" s="371"/>
      <c r="D114" s="371"/>
      <c r="E114" s="541"/>
      <c r="F114" s="541"/>
      <c r="G114" s="541"/>
      <c r="H114" s="542"/>
      <c r="I114" s="542"/>
      <c r="J114" s="542"/>
      <c r="K114" s="542"/>
      <c r="L114" s="271"/>
      <c r="M114" s="271"/>
      <c r="N114" s="271"/>
      <c r="O114" s="491"/>
      <c r="P114" s="491"/>
      <c r="Q114" s="491"/>
    </row>
    <row r="115" spans="2:17" x14ac:dyDescent="0.25">
      <c r="B115" s="491"/>
      <c r="C115" s="371"/>
      <c r="D115" s="371"/>
      <c r="E115" s="541"/>
      <c r="F115" s="541"/>
      <c r="G115" s="541"/>
      <c r="H115" s="542"/>
      <c r="I115" s="542"/>
      <c r="J115" s="542"/>
      <c r="K115" s="542"/>
      <c r="L115" s="271"/>
      <c r="M115" s="271"/>
      <c r="N115" s="271"/>
      <c r="O115" s="491"/>
      <c r="P115" s="491"/>
      <c r="Q115" s="491"/>
    </row>
    <row r="116" spans="2:17" x14ac:dyDescent="0.25">
      <c r="B116" s="491"/>
      <c r="C116" s="371"/>
      <c r="D116" s="371"/>
      <c r="E116" s="541"/>
      <c r="F116" s="541"/>
      <c r="G116" s="541"/>
      <c r="H116" s="542"/>
      <c r="I116" s="542"/>
      <c r="J116" s="542"/>
      <c r="K116" s="542"/>
      <c r="L116" s="271"/>
      <c r="M116" s="271"/>
      <c r="N116" s="271"/>
      <c r="O116" s="491"/>
      <c r="P116" s="491"/>
      <c r="Q116" s="491"/>
    </row>
    <row r="117" spans="2:17" x14ac:dyDescent="0.25">
      <c r="B117" s="491"/>
      <c r="C117" s="371"/>
      <c r="D117" s="371"/>
      <c r="E117" s="541"/>
      <c r="F117" s="541"/>
      <c r="G117" s="541"/>
      <c r="H117" s="542"/>
      <c r="I117" s="542"/>
      <c r="J117" s="542"/>
      <c r="K117" s="542"/>
      <c r="L117" s="271"/>
      <c r="M117" s="271"/>
      <c r="N117" s="271"/>
      <c r="O117" s="491"/>
      <c r="P117" s="491"/>
      <c r="Q117" s="491"/>
    </row>
    <row r="118" spans="2:17" x14ac:dyDescent="0.25">
      <c r="B118" s="491"/>
      <c r="C118" s="371"/>
      <c r="D118" s="371"/>
      <c r="E118" s="541"/>
      <c r="F118" s="541"/>
      <c r="G118" s="541"/>
      <c r="H118" s="542"/>
      <c r="I118" s="542"/>
      <c r="J118" s="542"/>
      <c r="K118" s="542"/>
      <c r="L118" s="271"/>
      <c r="M118" s="271"/>
      <c r="N118" s="271"/>
      <c r="O118" s="491"/>
      <c r="P118" s="491"/>
      <c r="Q118" s="491"/>
    </row>
    <row r="119" spans="2:17" x14ac:dyDescent="0.25">
      <c r="B119" s="491"/>
      <c r="C119" s="371"/>
      <c r="D119" s="371"/>
      <c r="E119" s="541"/>
      <c r="F119" s="541"/>
      <c r="G119" s="541"/>
      <c r="H119" s="542"/>
      <c r="I119" s="542"/>
      <c r="J119" s="542"/>
      <c r="K119" s="542"/>
      <c r="L119" s="271"/>
      <c r="M119" s="271"/>
      <c r="N119" s="271"/>
      <c r="O119" s="491"/>
      <c r="P119" s="491"/>
      <c r="Q119" s="491"/>
    </row>
    <row r="120" spans="2:17" x14ac:dyDescent="0.25">
      <c r="B120" s="491"/>
      <c r="C120" s="491"/>
      <c r="D120" s="491"/>
      <c r="E120" s="541"/>
      <c r="F120" s="541"/>
      <c r="G120" s="541"/>
      <c r="H120" s="270"/>
      <c r="I120" s="270"/>
      <c r="J120" s="270"/>
      <c r="K120" s="270"/>
      <c r="L120" s="271"/>
      <c r="M120" s="271"/>
      <c r="N120" s="271"/>
      <c r="O120" s="491"/>
      <c r="P120" s="491"/>
      <c r="Q120" s="491"/>
    </row>
    <row r="121" spans="2:17" x14ac:dyDescent="0.25">
      <c r="B121" s="491"/>
      <c r="C121" s="491"/>
      <c r="D121" s="491"/>
      <c r="E121" s="541"/>
      <c r="F121" s="541"/>
      <c r="G121" s="541"/>
      <c r="H121" s="270"/>
      <c r="I121" s="270"/>
      <c r="J121" s="270"/>
      <c r="K121" s="270"/>
      <c r="L121" s="271"/>
      <c r="M121" s="271"/>
      <c r="N121" s="271"/>
      <c r="O121" s="491"/>
      <c r="P121" s="491"/>
      <c r="Q121" s="491"/>
    </row>
    <row r="122" spans="2:17" x14ac:dyDescent="0.25">
      <c r="B122" s="491"/>
      <c r="C122" s="491"/>
      <c r="D122" s="491"/>
      <c r="E122" s="541"/>
      <c r="F122" s="541"/>
      <c r="G122" s="541"/>
      <c r="H122" s="270"/>
      <c r="I122" s="270"/>
      <c r="J122" s="270"/>
      <c r="K122" s="270"/>
      <c r="L122" s="271"/>
      <c r="M122" s="271"/>
      <c r="N122" s="271"/>
      <c r="O122" s="491"/>
      <c r="P122" s="491"/>
      <c r="Q122" s="491"/>
    </row>
    <row r="123" spans="2:17" x14ac:dyDescent="0.25">
      <c r="B123" s="491"/>
      <c r="C123" s="491"/>
      <c r="D123" s="491"/>
      <c r="E123" s="541"/>
      <c r="F123" s="541"/>
      <c r="G123" s="541"/>
      <c r="H123" s="542"/>
      <c r="I123" s="542"/>
      <c r="J123" s="542"/>
      <c r="K123" s="542"/>
      <c r="L123" s="271"/>
      <c r="M123" s="271"/>
      <c r="N123" s="271"/>
      <c r="O123" s="491"/>
      <c r="P123" s="491"/>
      <c r="Q123" s="491"/>
    </row>
    <row r="124" spans="2:17" x14ac:dyDescent="0.25">
      <c r="B124" s="491"/>
      <c r="C124" s="491"/>
      <c r="D124" s="491"/>
      <c r="E124" s="541"/>
      <c r="F124" s="541"/>
      <c r="G124" s="541"/>
      <c r="H124" s="542"/>
      <c r="I124" s="542"/>
      <c r="J124" s="542"/>
      <c r="K124" s="542"/>
      <c r="L124" s="271"/>
      <c r="M124" s="271"/>
      <c r="N124" s="271"/>
      <c r="O124" s="491"/>
      <c r="P124" s="491"/>
      <c r="Q124" s="491"/>
    </row>
    <row r="125" spans="2:17" x14ac:dyDescent="0.25">
      <c r="B125" s="491"/>
      <c r="C125" s="491"/>
      <c r="D125" s="491"/>
      <c r="E125" s="541"/>
      <c r="F125" s="541"/>
      <c r="G125" s="541"/>
      <c r="H125" s="542"/>
      <c r="I125" s="542"/>
      <c r="J125" s="542"/>
      <c r="K125" s="542"/>
      <c r="L125" s="271"/>
      <c r="M125" s="271"/>
      <c r="N125" s="271"/>
      <c r="O125" s="491"/>
      <c r="P125" s="491"/>
      <c r="Q125" s="491"/>
    </row>
    <row r="126" spans="2:17" x14ac:dyDescent="0.25">
      <c r="B126" s="491"/>
      <c r="C126" s="491"/>
      <c r="D126" s="491"/>
      <c r="E126" s="541"/>
      <c r="F126" s="541"/>
      <c r="G126" s="541"/>
      <c r="H126" s="270"/>
      <c r="I126" s="270"/>
      <c r="J126" s="270"/>
      <c r="K126" s="270"/>
      <c r="L126" s="271"/>
      <c r="M126" s="271"/>
      <c r="N126" s="271"/>
      <c r="O126" s="491"/>
      <c r="P126" s="491"/>
      <c r="Q126" s="491"/>
    </row>
    <row r="127" spans="2:17" x14ac:dyDescent="0.25">
      <c r="B127" s="491"/>
      <c r="C127" s="491"/>
      <c r="D127" s="491"/>
      <c r="E127" s="541"/>
      <c r="F127" s="541"/>
      <c r="G127" s="541"/>
      <c r="H127" s="270"/>
      <c r="I127" s="270"/>
      <c r="J127" s="270"/>
      <c r="K127" s="270"/>
      <c r="L127" s="271"/>
      <c r="M127" s="271"/>
      <c r="N127" s="271"/>
      <c r="O127" s="491"/>
      <c r="P127" s="491"/>
      <c r="Q127" s="491"/>
    </row>
    <row r="128" spans="2:17" x14ac:dyDescent="0.25">
      <c r="B128" s="491"/>
      <c r="C128" s="491"/>
      <c r="D128" s="491"/>
      <c r="E128" s="541"/>
      <c r="F128" s="541"/>
      <c r="G128" s="541"/>
      <c r="H128" s="270"/>
      <c r="I128" s="270"/>
      <c r="J128" s="270"/>
      <c r="K128" s="270"/>
      <c r="L128" s="271"/>
      <c r="M128" s="271"/>
      <c r="N128" s="271"/>
      <c r="O128" s="491"/>
      <c r="P128" s="491"/>
      <c r="Q128" s="491"/>
    </row>
    <row r="129" spans="2:17" x14ac:dyDescent="0.25">
      <c r="B129" s="491"/>
      <c r="C129" s="491"/>
      <c r="D129" s="491"/>
      <c r="E129" s="541"/>
      <c r="F129" s="541"/>
      <c r="G129" s="541"/>
      <c r="H129" s="270"/>
      <c r="I129" s="270"/>
      <c r="J129" s="270"/>
      <c r="K129" s="270"/>
      <c r="L129" s="271"/>
      <c r="M129" s="271"/>
      <c r="N129" s="271"/>
      <c r="O129" s="491"/>
      <c r="P129" s="491"/>
      <c r="Q129" s="491"/>
    </row>
    <row r="130" spans="2:17" x14ac:dyDescent="0.25">
      <c r="B130" s="491"/>
      <c r="C130" s="491"/>
      <c r="D130" s="491"/>
      <c r="E130" s="541"/>
      <c r="F130" s="541"/>
      <c r="G130" s="541"/>
      <c r="H130" s="270"/>
      <c r="I130" s="270"/>
      <c r="J130" s="270"/>
      <c r="K130" s="270"/>
      <c r="L130" s="271"/>
      <c r="M130" s="271"/>
      <c r="N130" s="271"/>
      <c r="O130" s="491"/>
      <c r="P130" s="491"/>
      <c r="Q130" s="491"/>
    </row>
    <row r="131" spans="2:17" x14ac:dyDescent="0.25">
      <c r="B131" s="491"/>
      <c r="C131" s="491"/>
      <c r="D131" s="491"/>
      <c r="E131" s="541"/>
      <c r="F131" s="541"/>
      <c r="G131" s="541"/>
      <c r="H131" s="270"/>
      <c r="I131" s="270"/>
      <c r="J131" s="270"/>
      <c r="K131" s="270"/>
      <c r="L131" s="271"/>
      <c r="M131" s="271"/>
      <c r="N131" s="271"/>
      <c r="O131" s="491"/>
      <c r="P131" s="491"/>
      <c r="Q131" s="491"/>
    </row>
    <row r="132" spans="2:17" x14ac:dyDescent="0.25">
      <c r="B132" s="491"/>
      <c r="C132" s="491"/>
      <c r="D132" s="491"/>
      <c r="E132" s="541"/>
      <c r="F132" s="541"/>
      <c r="G132" s="541"/>
      <c r="H132" s="270"/>
      <c r="I132" s="270"/>
      <c r="J132" s="270"/>
      <c r="K132" s="270"/>
      <c r="L132" s="271"/>
      <c r="M132" s="271"/>
      <c r="N132" s="271"/>
      <c r="O132" s="491"/>
      <c r="P132" s="491"/>
      <c r="Q132" s="491"/>
    </row>
    <row r="133" spans="2:17" x14ac:dyDescent="0.25">
      <c r="B133" s="491"/>
      <c r="C133" s="491"/>
      <c r="D133" s="491"/>
      <c r="E133" s="541"/>
      <c r="F133" s="541"/>
      <c r="G133" s="541"/>
      <c r="H133" s="270"/>
      <c r="I133" s="270"/>
      <c r="J133" s="270"/>
      <c r="K133" s="270"/>
      <c r="L133" s="271"/>
      <c r="M133" s="271"/>
      <c r="N133" s="271"/>
      <c r="O133" s="491"/>
      <c r="P133" s="491"/>
      <c r="Q133" s="491"/>
    </row>
    <row r="134" spans="2:17" x14ac:dyDescent="0.25">
      <c r="B134" s="491"/>
      <c r="C134" s="491"/>
      <c r="D134" s="491"/>
      <c r="E134" s="541"/>
      <c r="F134" s="541"/>
      <c r="G134" s="541"/>
      <c r="H134" s="270"/>
      <c r="I134" s="270"/>
      <c r="J134" s="270"/>
      <c r="K134" s="270"/>
      <c r="L134" s="271"/>
      <c r="M134" s="271"/>
      <c r="N134" s="271"/>
      <c r="O134" s="491"/>
      <c r="P134" s="491"/>
      <c r="Q134" s="491"/>
    </row>
    <row r="135" spans="2:17" x14ac:dyDescent="0.25">
      <c r="B135" s="491"/>
      <c r="C135" s="491"/>
      <c r="D135" s="491"/>
      <c r="E135" s="541"/>
      <c r="F135" s="541"/>
      <c r="G135" s="541"/>
      <c r="H135" s="270"/>
      <c r="I135" s="270"/>
      <c r="J135" s="270"/>
      <c r="K135" s="270"/>
      <c r="L135" s="271"/>
      <c r="M135" s="271"/>
      <c r="N135" s="271"/>
      <c r="O135" s="491"/>
      <c r="P135" s="491"/>
      <c r="Q135" s="491"/>
    </row>
    <row r="136" spans="2:17" x14ac:dyDescent="0.25">
      <c r="B136" s="491"/>
      <c r="C136" s="491"/>
      <c r="D136" s="491"/>
      <c r="E136" s="541"/>
      <c r="F136" s="541"/>
      <c r="G136" s="541"/>
      <c r="H136" s="270"/>
      <c r="I136" s="270"/>
      <c r="J136" s="270"/>
      <c r="K136" s="270"/>
      <c r="L136" s="271"/>
      <c r="M136" s="271"/>
      <c r="N136" s="271"/>
      <c r="O136" s="491"/>
      <c r="P136" s="491"/>
      <c r="Q136" s="491"/>
    </row>
    <row r="137" spans="2:17" x14ac:dyDescent="0.25">
      <c r="B137" s="491"/>
      <c r="C137" s="491"/>
      <c r="D137" s="491"/>
      <c r="E137" s="541"/>
      <c r="F137" s="541"/>
      <c r="G137" s="541"/>
      <c r="H137" s="270"/>
      <c r="I137" s="270"/>
      <c r="J137" s="270"/>
      <c r="K137" s="270"/>
      <c r="L137" s="271"/>
      <c r="M137" s="271"/>
      <c r="N137" s="271"/>
      <c r="O137" s="491"/>
      <c r="P137" s="491"/>
      <c r="Q137" s="491"/>
    </row>
    <row r="138" spans="2:17" x14ac:dyDescent="0.25">
      <c r="B138" s="491"/>
      <c r="C138" s="491"/>
      <c r="D138" s="491"/>
      <c r="E138" s="491"/>
      <c r="F138" s="491"/>
      <c r="G138" s="491"/>
      <c r="H138" s="491"/>
      <c r="I138" s="491"/>
      <c r="J138" s="491"/>
      <c r="K138" s="491"/>
      <c r="L138" s="491"/>
      <c r="M138" s="491"/>
      <c r="N138" s="491"/>
      <c r="O138" s="491"/>
      <c r="P138" s="491"/>
      <c r="Q138" s="491"/>
    </row>
    <row r="139" spans="2:17" x14ac:dyDescent="0.25">
      <c r="B139" s="491"/>
      <c r="C139" s="491"/>
      <c r="D139" s="491"/>
      <c r="E139" s="491"/>
      <c r="F139" s="491"/>
      <c r="G139" s="491"/>
      <c r="H139" s="491"/>
      <c r="I139" s="491"/>
      <c r="J139" s="491"/>
      <c r="K139" s="491"/>
      <c r="L139" s="491"/>
      <c r="M139" s="491"/>
      <c r="N139" s="491"/>
      <c r="O139" s="491"/>
      <c r="P139" s="491"/>
      <c r="Q139" s="491"/>
    </row>
    <row r="140" spans="2:17" x14ac:dyDescent="0.25">
      <c r="B140" s="491"/>
      <c r="C140" s="491"/>
      <c r="D140" s="491"/>
      <c r="E140" s="491"/>
      <c r="F140" s="491"/>
      <c r="G140" s="491"/>
      <c r="H140" s="491"/>
      <c r="I140" s="491"/>
      <c r="J140" s="491"/>
      <c r="K140" s="491"/>
      <c r="L140" s="491"/>
      <c r="M140" s="491"/>
      <c r="N140" s="491"/>
      <c r="O140" s="491"/>
      <c r="P140" s="491"/>
      <c r="Q140" s="491"/>
    </row>
    <row r="141" spans="2:17" x14ac:dyDescent="0.25">
      <c r="B141" s="491"/>
      <c r="C141" s="491"/>
      <c r="D141" s="491"/>
      <c r="E141" s="491"/>
      <c r="F141" s="491"/>
      <c r="G141" s="491"/>
      <c r="H141" s="491"/>
      <c r="I141" s="491"/>
      <c r="J141" s="491"/>
      <c r="K141" s="491"/>
      <c r="L141" s="491"/>
      <c r="M141" s="491"/>
      <c r="N141" s="491"/>
      <c r="O141" s="491"/>
      <c r="P141" s="491"/>
      <c r="Q141" s="491"/>
    </row>
  </sheetData>
  <protectedRanges>
    <protectedRange sqref="C7:C8 C16 C11 C13" name="Plage1"/>
  </protectedRanges>
  <mergeCells count="22">
    <mergeCell ref="B1:O1"/>
    <mergeCell ref="B2:O2"/>
    <mergeCell ref="G4:L4"/>
    <mergeCell ref="E7:F7"/>
    <mergeCell ref="D13:E13"/>
    <mergeCell ref="K9:N11"/>
    <mergeCell ref="K29:L30"/>
    <mergeCell ref="L7:M7"/>
    <mergeCell ref="J7:K7"/>
    <mergeCell ref="C12:E12"/>
    <mergeCell ref="H22:I22"/>
    <mergeCell ref="L22:N22"/>
    <mergeCell ref="M27:N28"/>
    <mergeCell ref="K12:L13"/>
    <mergeCell ref="M12:N13"/>
    <mergeCell ref="K15:O17"/>
    <mergeCell ref="C11:E11"/>
    <mergeCell ref="H25:I25"/>
    <mergeCell ref="F12:G14"/>
    <mergeCell ref="D16:E16"/>
    <mergeCell ref="M14:N14"/>
    <mergeCell ref="F15:J17"/>
  </mergeCells>
  <conditionalFormatting sqref="L7:M7">
    <cfRule type="iconSet" priority="3">
      <iconSet iconSet="5Rating">
        <cfvo type="percent" val="0"/>
        <cfvo type="num" val="4"/>
        <cfvo type="num" val="5"/>
        <cfvo type="num" val="6"/>
        <cfvo type="num" val="7"/>
      </iconSet>
    </cfRule>
  </conditionalFormatting>
  <conditionalFormatting sqref="G7">
    <cfRule type="iconSet" priority="2">
      <iconSet iconSet="5Rating">
        <cfvo type="percent" val="0"/>
        <cfvo type="num" val="6"/>
        <cfvo type="num" val="8"/>
        <cfvo type="num" val="10"/>
        <cfvo type="num" val="12"/>
      </iconSet>
    </cfRule>
  </conditionalFormatting>
  <conditionalFormatting sqref="K12:L13">
    <cfRule type="iconSet" priority="1">
      <iconSet iconSet="5Rating">
        <cfvo type="percent" val="0"/>
        <cfvo type="num" val="5"/>
        <cfvo type="num" val="10"/>
        <cfvo type="num" val="20"/>
        <cfvo type="num" val="40"/>
      </iconSet>
    </cfRule>
  </conditionalFormatting>
  <dataValidations count="1">
    <dataValidation type="list" allowBlank="1" showInputMessage="1" showErrorMessage="1" sqref="C11">
      <formula1>$C$23:$C$27</formula1>
    </dataValidation>
  </dataValidations>
  <printOptions horizontalCentered="1" verticalCentered="1"/>
  <pageMargins left="0.43307086614173229" right="0.43307086614173229" top="0.55118110236220474" bottom="0.55118110236220474" header="0.31496062992125984" footer="0.31496062992125984"/>
  <pageSetup paperSize="9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0" r:id="rId4" name="Option Button 2">
              <controlPr locked="0" defaultSize="0" autoFill="0" autoLine="0" autoPict="0">
                <anchor moveWithCells="1">
                  <from>
                    <xdr:col>7</xdr:col>
                    <xdr:colOff>95250</xdr:colOff>
                    <xdr:row>8</xdr:row>
                    <xdr:rowOff>47625</xdr:rowOff>
                  </from>
                  <to>
                    <xdr:col>8</xdr:col>
                    <xdr:colOff>190500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5" name="Option Button 3">
              <controlPr locked="0" defaultSize="0" autoFill="0" autoLine="0" autoPict="0">
                <anchor moveWithCells="1">
                  <from>
                    <xdr:col>7</xdr:col>
                    <xdr:colOff>95250</xdr:colOff>
                    <xdr:row>8</xdr:row>
                    <xdr:rowOff>323850</xdr:rowOff>
                  </from>
                  <to>
                    <xdr:col>8</xdr:col>
                    <xdr:colOff>104775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6" name="Option Button 4">
              <controlPr locked="0" defaultSize="0" autoFill="0" autoLine="0" autoPict="0">
                <anchor moveWithCells="1">
                  <from>
                    <xdr:col>7</xdr:col>
                    <xdr:colOff>95250</xdr:colOff>
                    <xdr:row>10</xdr:row>
                    <xdr:rowOff>95250</xdr:rowOff>
                  </from>
                  <to>
                    <xdr:col>9</xdr:col>
                    <xdr:colOff>38100</xdr:colOff>
                    <xdr:row>10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7" name="Spinner 9">
              <controlPr defaultSize="0" autoPict="0">
                <anchor moveWithCells="1" sizeWithCells="1">
                  <from>
                    <xdr:col>11</xdr:col>
                    <xdr:colOff>323850</xdr:colOff>
                    <xdr:row>6</xdr:row>
                    <xdr:rowOff>0</xdr:rowOff>
                  </from>
                  <to>
                    <xdr:col>11</xdr:col>
                    <xdr:colOff>590550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6" r:id="rId8" name="List Box 18">
              <controlPr locked="0" defaultSize="0" autoLine="0" autoPict="0">
                <anchor moveWithCells="1">
                  <from>
                    <xdr:col>6</xdr:col>
                    <xdr:colOff>428625</xdr:colOff>
                    <xdr:row>11</xdr:row>
                    <xdr:rowOff>114300</xdr:rowOff>
                  </from>
                  <to>
                    <xdr:col>9</xdr:col>
                    <xdr:colOff>190500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0" r:id="rId9" name="Spinner 22">
              <controlPr defaultSize="0" autoPict="0">
                <anchor moveWithCells="1" sizeWithCells="1">
                  <from>
                    <xdr:col>6</xdr:col>
                    <xdr:colOff>314325</xdr:colOff>
                    <xdr:row>5</xdr:row>
                    <xdr:rowOff>476250</xdr:rowOff>
                  </from>
                  <to>
                    <xdr:col>6</xdr:col>
                    <xdr:colOff>571500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AJ96"/>
  <sheetViews>
    <sheetView showGridLines="0" zoomScale="95" zoomScaleNormal="95" workbookViewId="0"/>
  </sheetViews>
  <sheetFormatPr defaultColWidth="11.42578125" defaultRowHeight="15" x14ac:dyDescent="0.25"/>
  <cols>
    <col min="1" max="1" width="3.42578125" style="645" customWidth="1"/>
    <col min="2" max="2" width="2.7109375" style="645" customWidth="1"/>
    <col min="3" max="3" width="16.5703125" style="645" customWidth="1"/>
    <col min="4" max="4" width="2.7109375" style="645" customWidth="1"/>
    <col min="5" max="5" width="35.28515625" style="645" customWidth="1"/>
    <col min="6" max="6" width="3.42578125" style="645" customWidth="1"/>
    <col min="7" max="7" width="8.7109375" style="645" customWidth="1"/>
    <col min="8" max="8" width="8.28515625" style="645" customWidth="1"/>
    <col min="9" max="14" width="8.7109375" style="645" customWidth="1"/>
    <col min="15" max="15" width="3.28515625" style="645" customWidth="1"/>
    <col min="16" max="17" width="1.28515625" style="645" customWidth="1"/>
    <col min="18" max="18" width="27.85546875" style="645" customWidth="1"/>
    <col min="19" max="19" width="2.7109375" style="645" customWidth="1"/>
    <col min="20" max="20" width="28.42578125" style="645" customWidth="1"/>
    <col min="21" max="21" width="3.7109375" style="645" customWidth="1"/>
    <col min="22" max="22" width="8.140625" style="645" customWidth="1"/>
    <col min="23" max="23" width="6.7109375" style="645" customWidth="1"/>
    <col min="24" max="24" width="9" style="645" customWidth="1"/>
    <col min="25" max="25" width="8.7109375" style="645" customWidth="1"/>
    <col min="26" max="26" width="5.85546875" style="645" customWidth="1"/>
    <col min="27" max="27" width="6.7109375" style="645" customWidth="1"/>
    <col min="28" max="28" width="7" style="645" customWidth="1"/>
    <col min="29" max="29" width="6.7109375" style="645" customWidth="1"/>
    <col min="30" max="16384" width="11.42578125" style="645"/>
  </cols>
  <sheetData>
    <row r="1" spans="1:36" ht="66.599999999999994" customHeight="1" thickBot="1" x14ac:dyDescent="0.45">
      <c r="A1" s="497"/>
      <c r="B1" s="1502" t="s">
        <v>1275</v>
      </c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  <c r="P1" s="497"/>
      <c r="Q1" s="497"/>
      <c r="R1" s="1496" t="s">
        <v>892</v>
      </c>
      <c r="S1" s="1496"/>
      <c r="T1" s="1496"/>
      <c r="U1" s="497"/>
      <c r="AC1" s="712"/>
      <c r="AD1" s="712"/>
      <c r="AJ1" s="712"/>
    </row>
    <row r="2" spans="1:36" ht="29.25" customHeight="1" thickBot="1" x14ac:dyDescent="0.3">
      <c r="A2" s="497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8"/>
      <c r="P2" s="497"/>
      <c r="Q2" s="497"/>
      <c r="R2" s="718" t="str">
        <f>IF(E22="","",E22)</f>
        <v>Betterave fourragère</v>
      </c>
      <c r="S2" s="706"/>
      <c r="T2" s="719" t="str">
        <f t="shared" ref="T2:T11" si="0">IF(R22="","",R22)</f>
        <v>ACL 40</v>
      </c>
      <c r="U2" s="497"/>
      <c r="AC2" s="712"/>
      <c r="AD2" s="712"/>
      <c r="AJ2" s="712"/>
    </row>
    <row r="3" spans="1:36" ht="20.45" customHeight="1" x14ac:dyDescent="0.25">
      <c r="A3" s="497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497"/>
      <c r="Q3" s="497"/>
      <c r="R3" s="720" t="str">
        <f t="shared" ref="R3:R11" si="1">IF(E23="","",E23)</f>
        <v>Foin de crau</v>
      </c>
      <c r="S3" s="706"/>
      <c r="T3" s="721" t="str">
        <f t="shared" si="0"/>
        <v/>
      </c>
      <c r="U3" s="497"/>
      <c r="AC3" s="712"/>
      <c r="AD3" s="712"/>
      <c r="AJ3" s="712"/>
    </row>
    <row r="4" spans="1:36" ht="27.75" x14ac:dyDescent="0.25">
      <c r="A4" s="497"/>
      <c r="B4" s="506"/>
      <c r="C4" s="505"/>
      <c r="D4" s="505"/>
      <c r="E4" s="505"/>
      <c r="F4" s="602"/>
      <c r="G4" s="602"/>
      <c r="H4" s="602"/>
      <c r="I4" s="1086" t="s">
        <v>1254</v>
      </c>
      <c r="J4" s="1086"/>
      <c r="K4" s="1086"/>
      <c r="L4" s="1086"/>
      <c r="M4" s="1086"/>
      <c r="N4" s="1086"/>
      <c r="O4" s="1087"/>
      <c r="P4" s="497"/>
      <c r="Q4" s="497"/>
      <c r="R4" s="720" t="str">
        <f>IF(E24="","",E24)</f>
        <v/>
      </c>
      <c r="S4" s="706"/>
      <c r="T4" s="721" t="str">
        <f t="shared" si="0"/>
        <v>Epeautre</v>
      </c>
      <c r="U4" s="497"/>
      <c r="AC4" s="712"/>
      <c r="AD4" s="712"/>
      <c r="AJ4" s="712"/>
    </row>
    <row r="5" spans="1:36" ht="25.9" customHeight="1" x14ac:dyDescent="0.25">
      <c r="A5" s="497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224"/>
      <c r="P5" s="497"/>
      <c r="Q5" s="497"/>
      <c r="R5" s="720" t="str">
        <f>IF(E25="","",E25)</f>
        <v/>
      </c>
      <c r="S5" s="706"/>
      <c r="T5" s="721" t="str">
        <f t="shared" si="0"/>
        <v/>
      </c>
      <c r="U5" s="497"/>
      <c r="AC5" s="712"/>
      <c r="AD5" s="712"/>
      <c r="AJ5" s="712"/>
    </row>
    <row r="6" spans="1:36" ht="29.25" customHeight="1" x14ac:dyDescent="0.25">
      <c r="A6" s="497"/>
      <c r="B6" s="1503" t="s">
        <v>523</v>
      </c>
      <c r="C6" s="1503"/>
      <c r="D6" s="1503"/>
      <c r="E6" s="1503"/>
      <c r="F6" s="1503"/>
      <c r="G6" s="1503"/>
      <c r="H6" s="1503"/>
      <c r="I6" s="1503"/>
      <c r="J6" s="1503"/>
      <c r="K6" s="1503"/>
      <c r="L6" s="1503"/>
      <c r="M6" s="1503"/>
      <c r="N6" s="1503"/>
      <c r="O6" s="1503"/>
      <c r="P6" s="497"/>
      <c r="Q6" s="497"/>
      <c r="R6" s="720" t="str">
        <f t="shared" si="1"/>
        <v/>
      </c>
      <c r="S6" s="706"/>
      <c r="T6" s="721" t="str">
        <f t="shared" si="0"/>
        <v/>
      </c>
      <c r="U6" s="497"/>
      <c r="AC6" s="712"/>
      <c r="AD6" s="712"/>
      <c r="AJ6" s="712"/>
    </row>
    <row r="7" spans="1:36" ht="22.15" customHeight="1" x14ac:dyDescent="0.25">
      <c r="A7" s="497"/>
      <c r="B7" s="1504"/>
      <c r="C7" s="1505"/>
      <c r="D7" s="1505"/>
      <c r="E7" s="1505"/>
      <c r="F7" s="1505"/>
      <c r="G7" s="1505"/>
      <c r="H7" s="1505"/>
      <c r="I7" s="1505"/>
      <c r="J7" s="1505"/>
      <c r="K7" s="1505"/>
      <c r="L7" s="1505"/>
      <c r="M7" s="1505"/>
      <c r="N7" s="1505"/>
      <c r="O7" s="646"/>
      <c r="P7" s="497"/>
      <c r="Q7" s="497"/>
      <c r="R7" s="720" t="str">
        <f t="shared" si="1"/>
        <v/>
      </c>
      <c r="S7" s="706" t="s">
        <v>511</v>
      </c>
      <c r="T7" s="721" t="str">
        <f t="shared" si="0"/>
        <v/>
      </c>
      <c r="U7" s="497"/>
      <c r="AC7" s="712"/>
      <c r="AD7" s="712"/>
      <c r="AJ7" s="712"/>
    </row>
    <row r="8" spans="1:36" ht="23.45" customHeight="1" x14ac:dyDescent="0.25">
      <c r="A8" s="497"/>
      <c r="B8" s="1497" t="s">
        <v>896</v>
      </c>
      <c r="C8" s="1498"/>
      <c r="D8" s="1498"/>
      <c r="E8" s="1498"/>
      <c r="F8" s="1498"/>
      <c r="G8" s="1174"/>
      <c r="H8" s="1174"/>
      <c r="I8" s="1174"/>
      <c r="J8" s="1174"/>
      <c r="K8" s="1174"/>
      <c r="L8" s="1174"/>
      <c r="M8" s="1174"/>
      <c r="N8" s="1174"/>
      <c r="O8" s="498"/>
      <c r="P8" s="526"/>
      <c r="Q8" s="497"/>
      <c r="R8" s="720" t="str">
        <f t="shared" si="1"/>
        <v/>
      </c>
      <c r="S8" s="706" t="s">
        <v>511</v>
      </c>
      <c r="T8" s="721" t="str">
        <f t="shared" si="0"/>
        <v/>
      </c>
      <c r="U8" s="497"/>
      <c r="AC8" s="712"/>
      <c r="AD8" s="712"/>
      <c r="AJ8" s="712"/>
    </row>
    <row r="9" spans="1:36" ht="28.9" customHeight="1" x14ac:dyDescent="0.25">
      <c r="A9" s="497"/>
      <c r="B9" s="1499"/>
      <c r="C9" s="1500"/>
      <c r="D9" s="1500"/>
      <c r="E9" s="1500"/>
      <c r="F9" s="1500"/>
      <c r="G9" s="1501" t="s">
        <v>894</v>
      </c>
      <c r="H9" s="1501"/>
      <c r="I9" s="1501"/>
      <c r="J9" s="1501"/>
      <c r="K9" s="1501"/>
      <c r="L9" s="1501"/>
      <c r="M9" s="1501"/>
      <c r="N9" s="1501"/>
      <c r="O9" s="500"/>
      <c r="P9" s="526"/>
      <c r="Q9" s="497"/>
      <c r="R9" s="720" t="str">
        <f t="shared" si="1"/>
        <v/>
      </c>
      <c r="S9" s="706" t="s">
        <v>511</v>
      </c>
      <c r="T9" s="721" t="str">
        <f t="shared" si="0"/>
        <v/>
      </c>
      <c r="U9" s="497"/>
      <c r="AC9" s="712"/>
      <c r="AD9" s="712"/>
      <c r="AJ9" s="712"/>
    </row>
    <row r="10" spans="1:36" ht="21" customHeight="1" x14ac:dyDescent="0.25">
      <c r="A10" s="497"/>
      <c r="B10" s="1499"/>
      <c r="C10" s="1500"/>
      <c r="D10" s="1500"/>
      <c r="E10" s="1500"/>
      <c r="F10" s="1500"/>
      <c r="G10" s="1160" t="s">
        <v>891</v>
      </c>
      <c r="H10" s="1160"/>
      <c r="I10" s="1160"/>
      <c r="J10" s="1160"/>
      <c r="K10" s="1160"/>
      <c r="L10" s="1160"/>
      <c r="M10" s="1160"/>
      <c r="N10" s="1160"/>
      <c r="O10" s="500"/>
      <c r="P10" s="526"/>
      <c r="Q10" s="497"/>
      <c r="R10" s="720" t="str">
        <f t="shared" si="1"/>
        <v/>
      </c>
      <c r="S10" s="706" t="s">
        <v>511</v>
      </c>
      <c r="T10" s="721" t="str">
        <f t="shared" si="0"/>
        <v/>
      </c>
      <c r="U10" s="497"/>
      <c r="AC10" s="712"/>
      <c r="AD10" s="712"/>
      <c r="AJ10" s="712"/>
    </row>
    <row r="11" spans="1:36" ht="29.25" customHeight="1" x14ac:dyDescent="0.25">
      <c r="A11" s="497"/>
      <c r="B11" s="647"/>
      <c r="C11" s="650"/>
      <c r="D11" s="650"/>
      <c r="E11" s="657" t="s">
        <v>889</v>
      </c>
      <c r="F11" s="526"/>
      <c r="G11" s="898" t="s">
        <v>118</v>
      </c>
      <c r="H11" s="898" t="s">
        <v>2</v>
      </c>
      <c r="I11" s="898" t="s">
        <v>0</v>
      </c>
      <c r="J11" s="898" t="s">
        <v>254</v>
      </c>
      <c r="K11" s="898" t="s">
        <v>82</v>
      </c>
      <c r="L11" s="898" t="s">
        <v>83</v>
      </c>
      <c r="M11" s="898" t="s">
        <v>514</v>
      </c>
      <c r="N11" s="898" t="s">
        <v>515</v>
      </c>
      <c r="O11" s="500"/>
      <c r="P11" s="526"/>
      <c r="Q11" s="497"/>
      <c r="R11" s="720" t="str">
        <f t="shared" si="1"/>
        <v/>
      </c>
      <c r="S11" s="706"/>
      <c r="T11" s="721" t="str">
        <f t="shared" si="0"/>
        <v/>
      </c>
      <c r="U11" s="497"/>
      <c r="AC11" s="712"/>
      <c r="AD11" s="712"/>
      <c r="AJ11" s="712"/>
    </row>
    <row r="12" spans="1:36" ht="26.45" customHeight="1" x14ac:dyDescent="0.3">
      <c r="A12" s="497"/>
      <c r="B12" s="647"/>
      <c r="C12" s="658" t="s">
        <v>888</v>
      </c>
      <c r="D12" s="650"/>
      <c r="E12" s="726"/>
      <c r="F12" s="425"/>
      <c r="G12" s="727"/>
      <c r="H12" s="728"/>
      <c r="I12" s="728"/>
      <c r="J12" s="728"/>
      <c r="K12" s="727"/>
      <c r="L12" s="727"/>
      <c r="M12" s="729"/>
      <c r="N12" s="729"/>
      <c r="O12" s="500"/>
      <c r="P12" s="526"/>
      <c r="Q12" s="497"/>
      <c r="R12" s="878" t="s">
        <v>988</v>
      </c>
      <c r="S12" s="706" t="s">
        <v>511</v>
      </c>
      <c r="T12" s="878" t="s">
        <v>987</v>
      </c>
      <c r="U12" s="497"/>
      <c r="AC12" s="712"/>
      <c r="AD12" s="712"/>
      <c r="AJ12" s="712"/>
    </row>
    <row r="13" spans="1:36" ht="28.5" customHeight="1" x14ac:dyDescent="0.25">
      <c r="A13" s="497"/>
      <c r="B13" s="647"/>
      <c r="C13" s="551"/>
      <c r="D13" s="545"/>
      <c r="E13" s="657" t="s">
        <v>889</v>
      </c>
      <c r="F13" s="526"/>
      <c r="G13" s="898" t="s">
        <v>0</v>
      </c>
      <c r="H13" s="898" t="s">
        <v>254</v>
      </c>
      <c r="I13" s="898" t="s">
        <v>82</v>
      </c>
      <c r="J13" s="898" t="s">
        <v>83</v>
      </c>
      <c r="K13" s="898" t="s">
        <v>514</v>
      </c>
      <c r="L13" s="898" t="s">
        <v>515</v>
      </c>
      <c r="M13" s="1015" t="s">
        <v>1238</v>
      </c>
      <c r="N13" s="1015" t="s">
        <v>1241</v>
      </c>
      <c r="O13" s="500"/>
      <c r="P13" s="526"/>
      <c r="Q13" s="497"/>
      <c r="R13" s="1506" t="s">
        <v>1216</v>
      </c>
      <c r="S13" s="347" t="s">
        <v>511</v>
      </c>
      <c r="T13" s="1506" t="s">
        <v>1216</v>
      </c>
      <c r="U13" s="497"/>
      <c r="AC13" s="712"/>
      <c r="AD13" s="712"/>
      <c r="AJ13" s="712"/>
    </row>
    <row r="14" spans="1:36" ht="26.45" customHeight="1" x14ac:dyDescent="0.3">
      <c r="A14" s="497"/>
      <c r="B14" s="647"/>
      <c r="C14" s="658" t="s">
        <v>531</v>
      </c>
      <c r="D14" s="650"/>
      <c r="E14" s="726"/>
      <c r="F14" s="425"/>
      <c r="G14" s="1016"/>
      <c r="H14" s="1016"/>
      <c r="I14" s="730"/>
      <c r="J14" s="730"/>
      <c r="K14" s="731"/>
      <c r="L14" s="731"/>
      <c r="M14" s="731"/>
      <c r="N14" s="731"/>
      <c r="O14" s="500"/>
      <c r="P14" s="526"/>
      <c r="Q14" s="497"/>
      <c r="R14" s="1506"/>
      <c r="S14" s="347"/>
      <c r="T14" s="1506"/>
      <c r="U14" s="497"/>
      <c r="AC14" s="712"/>
      <c r="AD14" s="712"/>
      <c r="AJ14" s="712"/>
    </row>
    <row r="15" spans="1:36" ht="27" customHeight="1" x14ac:dyDescent="0.25">
      <c r="A15" s="497"/>
      <c r="B15" s="888"/>
      <c r="C15" s="889"/>
      <c r="D15" s="889"/>
      <c r="E15" s="937" t="s">
        <v>895</v>
      </c>
      <c r="F15" s="526"/>
      <c r="G15" s="497"/>
      <c r="H15" s="497"/>
      <c r="I15" s="497"/>
      <c r="J15" s="497"/>
      <c r="K15" s="497"/>
      <c r="L15" s="497"/>
      <c r="M15" s="497"/>
      <c r="N15" s="497"/>
      <c r="O15" s="500"/>
      <c r="P15" s="526"/>
      <c r="Q15" s="497"/>
      <c r="R15" s="732"/>
      <c r="S15" s="706"/>
      <c r="T15" s="732"/>
      <c r="U15" s="497"/>
      <c r="AC15" s="712"/>
      <c r="AD15" s="712"/>
      <c r="AJ15" s="712"/>
    </row>
    <row r="16" spans="1:36" ht="12.75" customHeight="1" x14ac:dyDescent="0.25">
      <c r="A16" s="497"/>
      <c r="B16" s="888"/>
      <c r="C16" s="1494" t="str">
        <f>IF(PREVISION!D12="","       Si vous ne connaissez pas les valeurs UF et PDI de l'aliment, cliquez sur PREVISION","Rappel des valeurs alimentaires calculées (PREVISION)")</f>
        <v xml:space="preserve">       Si vous ne connaissez pas les valeurs UF et PDI de l'aliment, cliquez sur PREVISION</v>
      </c>
      <c r="D16" s="1494"/>
      <c r="E16" s="1494"/>
      <c r="F16" s="944"/>
      <c r="G16" s="944"/>
      <c r="H16" s="944"/>
      <c r="I16" s="352" t="str">
        <f>IF(PREVISION!D12="","","UFL")</f>
        <v/>
      </c>
      <c r="J16" s="352" t="str">
        <f>IF(PREVISION!D12="","","UFV")</f>
        <v/>
      </c>
      <c r="K16" s="352" t="str">
        <f>IF(PREVISION!D12="","","PDIN")</f>
        <v/>
      </c>
      <c r="L16" s="352" t="str">
        <f>IF(PREVISION!D12="","","PDIE")</f>
        <v/>
      </c>
      <c r="M16" s="352" t="str">
        <f>IF(PREVISION!D12="","","P")</f>
        <v/>
      </c>
      <c r="N16" s="352" t="str">
        <f>IF(PREVISION!D12="","","Ca")</f>
        <v/>
      </c>
      <c r="O16" s="500"/>
      <c r="P16" s="497"/>
      <c r="Q16" s="497"/>
      <c r="R16" s="940" t="s">
        <v>511</v>
      </c>
      <c r="S16" s="497" t="s">
        <v>511</v>
      </c>
      <c r="T16" s="940"/>
      <c r="U16" s="497"/>
      <c r="AC16" s="712"/>
      <c r="AD16" s="712"/>
      <c r="AJ16" s="712"/>
    </row>
    <row r="17" spans="1:36" ht="27" customHeight="1" x14ac:dyDescent="0.25">
      <c r="A17" s="933"/>
      <c r="B17" s="938"/>
      <c r="C17" s="1494"/>
      <c r="D17" s="1494"/>
      <c r="E17" s="1494"/>
      <c r="F17" s="944"/>
      <c r="G17" s="944"/>
      <c r="H17" s="944"/>
      <c r="I17" s="945" t="str">
        <f>PREVISION!J12</f>
        <v/>
      </c>
      <c r="J17" s="945" t="str">
        <f>PREVISION!J14</f>
        <v/>
      </c>
      <c r="K17" s="946" t="str">
        <f>PREVISION!J18</f>
        <v/>
      </c>
      <c r="L17" s="946" t="str">
        <f>PREVISION!J20</f>
        <v/>
      </c>
      <c r="M17" s="946" t="str">
        <f>PREVISION!N18</f>
        <v/>
      </c>
      <c r="N17" s="946" t="str">
        <f>PREVISION!N20</f>
        <v/>
      </c>
      <c r="O17" s="939"/>
      <c r="P17" s="933"/>
      <c r="Q17" s="933"/>
      <c r="R17" s="941"/>
      <c r="S17" s="933"/>
      <c r="T17" s="941"/>
      <c r="U17" s="933"/>
      <c r="V17" s="430"/>
      <c r="W17" s="430"/>
      <c r="X17" s="430"/>
      <c r="Y17" s="430"/>
      <c r="Z17" s="430"/>
      <c r="AA17" s="430"/>
      <c r="AB17" s="430"/>
      <c r="AC17" s="838"/>
      <c r="AD17" s="838"/>
      <c r="AE17" s="838"/>
      <c r="AF17" s="838"/>
      <c r="AJ17" s="712"/>
    </row>
    <row r="18" spans="1:36" ht="12.75" customHeight="1" x14ac:dyDescent="0.25">
      <c r="A18" s="933"/>
      <c r="B18" s="934"/>
      <c r="C18" s="935"/>
      <c r="D18" s="935"/>
      <c r="E18" s="935"/>
      <c r="F18" s="935"/>
      <c r="G18" s="935"/>
      <c r="H18" s="935"/>
      <c r="I18" s="935"/>
      <c r="J18" s="935"/>
      <c r="K18" s="935"/>
      <c r="L18" s="935"/>
      <c r="M18" s="935"/>
      <c r="N18" s="935"/>
      <c r="O18" s="936"/>
      <c r="P18" s="933"/>
      <c r="Q18" s="933"/>
      <c r="R18" s="942"/>
      <c r="S18" s="933"/>
      <c r="T18" s="942"/>
      <c r="U18" s="933"/>
      <c r="V18" s="430"/>
      <c r="W18" s="430"/>
      <c r="X18" s="430"/>
      <c r="Y18" s="430"/>
      <c r="Z18" s="430"/>
      <c r="AA18" s="430"/>
      <c r="AB18" s="430"/>
      <c r="AC18" s="838"/>
      <c r="AD18" s="838"/>
      <c r="AE18" s="838"/>
      <c r="AF18" s="838"/>
      <c r="AJ18" s="712"/>
    </row>
    <row r="19" spans="1:36" ht="12" customHeight="1" x14ac:dyDescent="0.25">
      <c r="A19" s="933"/>
      <c r="B19" s="933"/>
      <c r="C19" s="933"/>
      <c r="D19" s="933"/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497"/>
      <c r="S19" s="497"/>
      <c r="T19" s="497"/>
      <c r="U19" s="497"/>
      <c r="AB19" s="430"/>
      <c r="AC19" s="838"/>
      <c r="AD19" s="838"/>
      <c r="AE19" s="838"/>
      <c r="AF19" s="838"/>
      <c r="AJ19" s="712"/>
    </row>
    <row r="20" spans="1:36" ht="18.600000000000001" customHeight="1" x14ac:dyDescent="0.35">
      <c r="A20" s="851"/>
      <c r="B20" s="851"/>
      <c r="C20" s="851"/>
      <c r="D20" s="851"/>
      <c r="E20" s="1495" t="s">
        <v>991</v>
      </c>
      <c r="F20" s="1495"/>
      <c r="G20" s="1495"/>
      <c r="H20" s="1495"/>
      <c r="I20" s="1495"/>
      <c r="J20" s="1495"/>
      <c r="K20" s="1495"/>
      <c r="L20" s="1495"/>
      <c r="M20" s="1495"/>
      <c r="N20" s="1495"/>
      <c r="O20" s="1495"/>
      <c r="P20" s="1495"/>
      <c r="Q20" s="1495"/>
      <c r="R20" s="1495"/>
      <c r="S20" s="1495"/>
      <c r="T20" s="1495"/>
      <c r="U20" s="1495"/>
      <c r="V20" s="1495"/>
      <c r="W20" s="1495"/>
      <c r="X20" s="1495"/>
      <c r="Y20" s="1495"/>
      <c r="Z20" s="1495"/>
      <c r="AA20" s="1495"/>
      <c r="AB20" s="851"/>
      <c r="AC20" s="1004"/>
      <c r="AD20" s="1004"/>
      <c r="AE20" s="1004"/>
      <c r="AF20" s="1004"/>
      <c r="AG20" s="1004"/>
      <c r="AH20" s="833"/>
      <c r="AJ20" s="712"/>
    </row>
    <row r="21" spans="1:36" ht="18.600000000000001" customHeight="1" x14ac:dyDescent="0.25">
      <c r="A21" s="851"/>
      <c r="B21" s="851"/>
      <c r="C21" s="851"/>
      <c r="D21" s="851"/>
      <c r="E21" s="1017" t="s">
        <v>888</v>
      </c>
      <c r="F21" s="1017"/>
      <c r="G21" s="1017" t="s">
        <v>118</v>
      </c>
      <c r="H21" s="1017" t="s">
        <v>524</v>
      </c>
      <c r="I21" s="1017" t="s">
        <v>48</v>
      </c>
      <c r="J21" s="1017" t="s">
        <v>538</v>
      </c>
      <c r="K21" s="1017" t="s">
        <v>42</v>
      </c>
      <c r="L21" s="1017" t="s">
        <v>43</v>
      </c>
      <c r="M21" s="1017" t="s">
        <v>871</v>
      </c>
      <c r="N21" s="1017" t="s">
        <v>872</v>
      </c>
      <c r="O21" s="750"/>
      <c r="P21" s="750"/>
      <c r="Q21" s="750"/>
      <c r="R21" s="1018" t="s">
        <v>531</v>
      </c>
      <c r="S21" s="1018"/>
      <c r="T21" s="1019" t="s">
        <v>48</v>
      </c>
      <c r="U21" s="1018" t="s">
        <v>538</v>
      </c>
      <c r="V21" s="1018" t="s">
        <v>42</v>
      </c>
      <c r="W21" s="1018" t="s">
        <v>43</v>
      </c>
      <c r="X21" s="1018" t="s">
        <v>871</v>
      </c>
      <c r="Y21" s="1018" t="s">
        <v>872</v>
      </c>
      <c r="Z21" s="1018" t="s">
        <v>1238</v>
      </c>
      <c r="AA21" s="1018" t="s">
        <v>1241</v>
      </c>
      <c r="AB21" s="833"/>
      <c r="AD21" s="1004"/>
      <c r="AE21" s="1004"/>
      <c r="AF21" s="1004"/>
      <c r="AG21" s="1004"/>
      <c r="AH21" s="833"/>
    </row>
    <row r="22" spans="1:36" ht="18.600000000000001" customHeight="1" x14ac:dyDescent="0.25">
      <c r="A22" s="851"/>
      <c r="B22" s="851"/>
      <c r="C22" s="851"/>
      <c r="D22" s="851"/>
      <c r="E22" s="1020" t="s">
        <v>1199</v>
      </c>
      <c r="F22" s="1021"/>
      <c r="G22" s="1022">
        <v>13</v>
      </c>
      <c r="H22" s="1023">
        <v>0.91</v>
      </c>
      <c r="I22" s="1023">
        <v>1.1499999999999999</v>
      </c>
      <c r="J22" s="1023">
        <v>1.1599999999999999</v>
      </c>
      <c r="K22" s="1024">
        <v>62</v>
      </c>
      <c r="L22" s="1024">
        <v>86</v>
      </c>
      <c r="M22" s="1025">
        <v>1.1000000000000001</v>
      </c>
      <c r="N22" s="1025">
        <v>0.5</v>
      </c>
      <c r="O22" s="750"/>
      <c r="P22" s="750"/>
      <c r="Q22" s="750"/>
      <c r="R22" s="1031" t="s">
        <v>1284</v>
      </c>
      <c r="S22" s="1031"/>
      <c r="T22" s="1031">
        <v>0.63</v>
      </c>
      <c r="U22" s="1031">
        <v>0.62</v>
      </c>
      <c r="V22" s="1032">
        <v>166</v>
      </c>
      <c r="W22" s="1032">
        <v>114</v>
      </c>
      <c r="X22" s="1031">
        <v>1</v>
      </c>
      <c r="Y22" s="1031">
        <v>2</v>
      </c>
      <c r="Z22" s="1033">
        <v>40</v>
      </c>
      <c r="AA22" s="1033">
        <v>1</v>
      </c>
      <c r="AB22" s="750"/>
      <c r="AC22" s="760"/>
      <c r="AD22" s="1004"/>
      <c r="AE22" s="1004"/>
      <c r="AF22" s="1004"/>
      <c r="AG22" s="1004"/>
      <c r="AH22" s="833"/>
    </row>
    <row r="23" spans="1:36" ht="18.600000000000001" customHeight="1" x14ac:dyDescent="0.25">
      <c r="A23" s="851"/>
      <c r="B23" s="851"/>
      <c r="C23" s="851"/>
      <c r="D23" s="851"/>
      <c r="E23" s="1030" t="s">
        <v>1215</v>
      </c>
      <c r="F23" s="1024"/>
      <c r="G23" s="1022">
        <v>85</v>
      </c>
      <c r="H23" s="1023">
        <v>1.37</v>
      </c>
      <c r="I23" s="1023">
        <v>0.77</v>
      </c>
      <c r="J23" s="1023">
        <v>0.69</v>
      </c>
      <c r="K23" s="1024">
        <v>75</v>
      </c>
      <c r="L23" s="1024">
        <v>87</v>
      </c>
      <c r="M23" s="1025">
        <v>2</v>
      </c>
      <c r="N23" s="1025">
        <v>3.7</v>
      </c>
      <c r="O23" s="750"/>
      <c r="P23" s="750"/>
      <c r="Q23" s="750"/>
      <c r="R23" s="1026"/>
      <c r="S23" s="1021"/>
      <c r="T23" s="1021"/>
      <c r="U23" s="1027"/>
      <c r="V23" s="1027"/>
      <c r="W23" s="1027"/>
      <c r="X23" s="1028"/>
      <c r="Y23" s="1028"/>
      <c r="Z23" s="1029"/>
      <c r="AA23" s="1029"/>
      <c r="AB23" s="750"/>
      <c r="AC23" s="760"/>
      <c r="AD23" s="1004"/>
      <c r="AE23" s="1004"/>
      <c r="AF23" s="1004"/>
      <c r="AG23" s="1004"/>
      <c r="AH23" s="833"/>
    </row>
    <row r="24" spans="1:36" ht="18.600000000000001" customHeight="1" x14ac:dyDescent="0.25">
      <c r="A24" s="851"/>
      <c r="B24" s="851"/>
      <c r="C24" s="851"/>
      <c r="D24" s="851"/>
      <c r="E24" s="1020"/>
      <c r="F24" s="1031"/>
      <c r="G24" s="1022"/>
      <c r="H24" s="1023"/>
      <c r="I24" s="1023"/>
      <c r="J24" s="1023"/>
      <c r="K24" s="1024"/>
      <c r="L24" s="1024"/>
      <c r="M24" s="1025"/>
      <c r="N24" s="1025"/>
      <c r="O24" s="750"/>
      <c r="P24" s="750"/>
      <c r="Q24" s="750"/>
      <c r="R24" s="1026" t="s">
        <v>1152</v>
      </c>
      <c r="S24" s="1021"/>
      <c r="T24" s="1021">
        <v>0.85</v>
      </c>
      <c r="U24" s="1027">
        <v>0.82</v>
      </c>
      <c r="V24" s="1027">
        <v>66</v>
      </c>
      <c r="W24" s="1027">
        <v>82</v>
      </c>
      <c r="X24" s="1028">
        <v>2.5</v>
      </c>
      <c r="Y24" s="1028">
        <v>0.5</v>
      </c>
      <c r="Z24" s="1029">
        <v>12</v>
      </c>
      <c r="AA24" s="1029">
        <v>12.7</v>
      </c>
      <c r="AB24" s="851"/>
      <c r="AC24" s="1004"/>
      <c r="AD24" s="1004"/>
      <c r="AE24" s="1004"/>
      <c r="AF24" s="1004"/>
      <c r="AG24" s="1004"/>
      <c r="AH24" s="833"/>
    </row>
    <row r="25" spans="1:36" ht="18.600000000000001" customHeight="1" x14ac:dyDescent="0.25">
      <c r="A25" s="851"/>
      <c r="B25" s="851"/>
      <c r="C25" s="851"/>
      <c r="D25" s="851"/>
      <c r="E25" s="1020"/>
      <c r="F25" s="1024"/>
      <c r="G25" s="1022"/>
      <c r="H25" s="1023"/>
      <c r="I25" s="1023"/>
      <c r="J25" s="1023"/>
      <c r="K25" s="1024"/>
      <c r="L25" s="1024"/>
      <c r="M25" s="1025"/>
      <c r="N25" s="1025"/>
      <c r="O25" s="750"/>
      <c r="P25" s="750"/>
      <c r="Q25" s="750"/>
      <c r="R25" s="1021"/>
      <c r="S25" s="1021"/>
      <c r="T25" s="1021"/>
      <c r="U25" s="1027"/>
      <c r="V25" s="1027"/>
      <c r="W25" s="1027"/>
      <c r="X25" s="1028"/>
      <c r="Y25" s="1028"/>
      <c r="Z25" s="1029"/>
      <c r="AA25" s="1029"/>
      <c r="AB25" s="750"/>
      <c r="AC25" s="760"/>
      <c r="AD25" s="1004"/>
      <c r="AE25" s="1004"/>
      <c r="AF25" s="1004"/>
      <c r="AG25" s="1004"/>
      <c r="AH25" s="833"/>
    </row>
    <row r="26" spans="1:36" ht="18.600000000000001" customHeight="1" x14ac:dyDescent="0.25">
      <c r="A26" s="851"/>
      <c r="B26" s="851"/>
      <c r="C26" s="851"/>
      <c r="D26" s="851"/>
      <c r="E26" s="1031"/>
      <c r="F26" s="1024"/>
      <c r="G26" s="1022"/>
      <c r="H26" s="1023"/>
      <c r="I26" s="1023"/>
      <c r="J26" s="1023"/>
      <c r="K26" s="1024"/>
      <c r="L26" s="1024"/>
      <c r="M26" s="1025"/>
      <c r="N26" s="1025"/>
      <c r="O26" s="750"/>
      <c r="P26" s="750"/>
      <c r="Q26" s="750"/>
      <c r="R26" s="1026"/>
      <c r="S26" s="1021"/>
      <c r="T26" s="1021"/>
      <c r="U26" s="1021"/>
      <c r="V26" s="1021"/>
      <c r="W26" s="1021"/>
      <c r="X26" s="1034"/>
      <c r="Y26" s="1034"/>
      <c r="Z26" s="1035"/>
      <c r="AA26" s="1033"/>
      <c r="AB26" s="750"/>
      <c r="AC26" s="760"/>
      <c r="AD26" s="1004"/>
      <c r="AE26" s="1004"/>
      <c r="AF26" s="1004"/>
      <c r="AG26" s="1004"/>
      <c r="AH26" s="833"/>
    </row>
    <row r="27" spans="1:36" ht="18.600000000000001" customHeight="1" x14ac:dyDescent="0.25">
      <c r="A27" s="851"/>
      <c r="B27" s="851"/>
      <c r="C27" s="851"/>
      <c r="D27" s="851"/>
      <c r="E27" s="1031"/>
      <c r="F27" s="1024"/>
      <c r="G27" s="1022"/>
      <c r="H27" s="1023"/>
      <c r="I27" s="1023"/>
      <c r="J27" s="1023"/>
      <c r="K27" s="1024"/>
      <c r="L27" s="1024"/>
      <c r="M27" s="1025"/>
      <c r="N27" s="1025"/>
      <c r="O27" s="750"/>
      <c r="P27" s="750"/>
      <c r="Q27" s="750"/>
      <c r="R27" s="1026"/>
      <c r="S27" s="1021"/>
      <c r="T27" s="1021"/>
      <c r="U27" s="1021"/>
      <c r="V27" s="1021"/>
      <c r="W27" s="1021"/>
      <c r="X27" s="1034"/>
      <c r="Y27" s="1034"/>
      <c r="Z27" s="1035"/>
      <c r="AA27" s="1033"/>
      <c r="AB27" s="750"/>
      <c r="AC27" s="760"/>
      <c r="AD27" s="1004"/>
      <c r="AE27" s="1004"/>
      <c r="AF27" s="1004"/>
      <c r="AG27" s="1004"/>
      <c r="AH27" s="833"/>
    </row>
    <row r="28" spans="1:36" ht="18.600000000000001" customHeight="1" x14ac:dyDescent="0.25">
      <c r="A28" s="851"/>
      <c r="B28" s="851"/>
      <c r="C28" s="851"/>
      <c r="D28" s="851"/>
      <c r="E28" s="1031"/>
      <c r="F28" s="1024"/>
      <c r="G28" s="1022"/>
      <c r="H28" s="1023"/>
      <c r="I28" s="1023"/>
      <c r="J28" s="1023"/>
      <c r="K28" s="1024"/>
      <c r="L28" s="1024"/>
      <c r="M28" s="1025"/>
      <c r="N28" s="1025"/>
      <c r="O28" s="750"/>
      <c r="P28" s="750"/>
      <c r="Q28" s="750"/>
      <c r="R28" s="1026"/>
      <c r="S28" s="1021"/>
      <c r="T28" s="1021"/>
      <c r="U28" s="1021"/>
      <c r="V28" s="1021"/>
      <c r="W28" s="1021"/>
      <c r="X28" s="1034"/>
      <c r="Y28" s="1034"/>
      <c r="Z28" s="1035"/>
      <c r="AA28" s="1033"/>
      <c r="AB28" s="750"/>
      <c r="AC28" s="760"/>
      <c r="AD28" s="1004"/>
      <c r="AE28" s="1004"/>
      <c r="AF28" s="1004"/>
      <c r="AG28" s="1004"/>
      <c r="AH28" s="833"/>
    </row>
    <row r="29" spans="1:36" ht="18.600000000000001" customHeight="1" x14ac:dyDescent="0.25">
      <c r="A29" s="851"/>
      <c r="B29" s="851"/>
      <c r="C29" s="851"/>
      <c r="D29" s="851"/>
      <c r="E29" s="1031"/>
      <c r="F29" s="1024"/>
      <c r="G29" s="1022"/>
      <c r="H29" s="1023"/>
      <c r="I29" s="1023"/>
      <c r="J29" s="1023"/>
      <c r="K29" s="1024"/>
      <c r="L29" s="1024"/>
      <c r="M29" s="1025"/>
      <c r="N29" s="1025"/>
      <c r="O29" s="750"/>
      <c r="P29" s="750"/>
      <c r="Q29" s="750"/>
      <c r="R29" s="1026"/>
      <c r="S29" s="1021"/>
      <c r="T29" s="1021"/>
      <c r="U29" s="1021"/>
      <c r="V29" s="1021"/>
      <c r="W29" s="1021"/>
      <c r="X29" s="1034"/>
      <c r="Y29" s="1034"/>
      <c r="Z29" s="1035"/>
      <c r="AA29" s="1033"/>
      <c r="AB29" s="750"/>
      <c r="AC29" s="760"/>
      <c r="AD29" s="1004"/>
      <c r="AE29" s="1004"/>
      <c r="AF29" s="1004"/>
      <c r="AG29" s="1004"/>
      <c r="AH29" s="833"/>
    </row>
    <row r="30" spans="1:36" ht="18.600000000000001" customHeight="1" x14ac:dyDescent="0.25">
      <c r="A30" s="851"/>
      <c r="B30" s="851"/>
      <c r="C30" s="851"/>
      <c r="D30" s="851"/>
      <c r="E30" s="1031"/>
      <c r="F30" s="1024"/>
      <c r="G30" s="1022"/>
      <c r="H30" s="1023"/>
      <c r="I30" s="1023"/>
      <c r="J30" s="1023"/>
      <c r="K30" s="1024"/>
      <c r="L30" s="1024"/>
      <c r="M30" s="1025"/>
      <c r="N30" s="1025"/>
      <c r="O30" s="750"/>
      <c r="P30" s="750"/>
      <c r="Q30" s="750"/>
      <c r="R30" s="1026"/>
      <c r="S30" s="1021"/>
      <c r="T30" s="1021"/>
      <c r="U30" s="1021"/>
      <c r="V30" s="1021"/>
      <c r="W30" s="1021"/>
      <c r="X30" s="1034"/>
      <c r="Y30" s="1034"/>
      <c r="Z30" s="1035"/>
      <c r="AA30" s="1033"/>
      <c r="AB30" s="750"/>
      <c r="AC30" s="760"/>
      <c r="AD30" s="1004"/>
      <c r="AE30" s="1004"/>
      <c r="AF30" s="1004"/>
      <c r="AG30" s="1004"/>
      <c r="AH30" s="833"/>
    </row>
    <row r="31" spans="1:36" ht="18.600000000000001" customHeight="1" x14ac:dyDescent="0.25">
      <c r="A31" s="851"/>
      <c r="B31" s="851"/>
      <c r="C31" s="851"/>
      <c r="D31" s="851"/>
      <c r="E31" s="1031"/>
      <c r="F31" s="1024"/>
      <c r="G31" s="1022"/>
      <c r="H31" s="1023"/>
      <c r="I31" s="1023"/>
      <c r="J31" s="1023"/>
      <c r="K31" s="1024"/>
      <c r="L31" s="1024"/>
      <c r="M31" s="1025"/>
      <c r="N31" s="1025"/>
      <c r="O31" s="750"/>
      <c r="P31" s="750"/>
      <c r="Q31" s="750"/>
      <c r="R31" s="1026"/>
      <c r="S31" s="1021"/>
      <c r="T31" s="1021"/>
      <c r="U31" s="1021"/>
      <c r="V31" s="1021"/>
      <c r="W31" s="1021"/>
      <c r="X31" s="1034"/>
      <c r="Y31" s="1034"/>
      <c r="Z31" s="1035"/>
      <c r="AA31" s="1033"/>
      <c r="AB31" s="750"/>
      <c r="AC31" s="760"/>
      <c r="AD31" s="1004"/>
      <c r="AE31" s="1004"/>
      <c r="AF31" s="1004"/>
      <c r="AG31" s="1004"/>
      <c r="AH31" s="833"/>
    </row>
    <row r="32" spans="1:36" ht="18.600000000000001" customHeight="1" x14ac:dyDescent="0.25">
      <c r="A32" s="851"/>
      <c r="B32" s="851"/>
      <c r="C32" s="851"/>
      <c r="D32" s="851"/>
      <c r="E32" s="1031"/>
      <c r="F32" s="1024"/>
      <c r="G32" s="1022"/>
      <c r="H32" s="1023"/>
      <c r="I32" s="1023"/>
      <c r="J32" s="1023"/>
      <c r="K32" s="1024"/>
      <c r="L32" s="1024"/>
      <c r="M32" s="1025"/>
      <c r="N32" s="1025"/>
      <c r="O32" s="750"/>
      <c r="P32" s="750"/>
      <c r="Q32" s="750"/>
      <c r="R32" s="1026"/>
      <c r="S32" s="1021"/>
      <c r="T32" s="1021"/>
      <c r="U32" s="1021"/>
      <c r="V32" s="1021"/>
      <c r="W32" s="1021"/>
      <c r="X32" s="1034"/>
      <c r="Y32" s="1034"/>
      <c r="Z32" s="1035"/>
      <c r="AA32" s="1033"/>
      <c r="AB32" s="750"/>
      <c r="AC32" s="760"/>
      <c r="AD32" s="1004"/>
      <c r="AE32" s="1004"/>
      <c r="AF32" s="1004"/>
      <c r="AG32" s="1004"/>
      <c r="AH32" s="833"/>
    </row>
    <row r="33" spans="1:34" ht="18.600000000000001" customHeight="1" x14ac:dyDescent="0.25">
      <c r="A33" s="851"/>
      <c r="B33" s="851"/>
      <c r="C33" s="851"/>
      <c r="D33" s="851"/>
      <c r="E33" s="1031"/>
      <c r="F33" s="1024"/>
      <c r="G33" s="1022"/>
      <c r="H33" s="1023"/>
      <c r="I33" s="1023"/>
      <c r="J33" s="1023"/>
      <c r="K33" s="1024"/>
      <c r="L33" s="1024"/>
      <c r="M33" s="1025"/>
      <c r="N33" s="1025"/>
      <c r="O33" s="750"/>
      <c r="P33" s="750"/>
      <c r="Q33" s="750"/>
      <c r="R33" s="1026"/>
      <c r="S33" s="1021"/>
      <c r="T33" s="1021"/>
      <c r="U33" s="1021"/>
      <c r="V33" s="1021"/>
      <c r="W33" s="1021"/>
      <c r="X33" s="1034"/>
      <c r="Y33" s="1034"/>
      <c r="Z33" s="1035"/>
      <c r="AA33" s="1033"/>
      <c r="AB33" s="750"/>
      <c r="AC33" s="760"/>
      <c r="AD33" s="1004"/>
      <c r="AE33" s="1004"/>
      <c r="AF33" s="1004"/>
      <c r="AG33" s="1004"/>
      <c r="AH33" s="833"/>
    </row>
    <row r="34" spans="1:34" ht="18.600000000000001" customHeight="1" x14ac:dyDescent="0.25">
      <c r="A34" s="851"/>
      <c r="B34" s="851"/>
      <c r="C34" s="851"/>
      <c r="D34" s="851"/>
      <c r="E34" s="1031"/>
      <c r="F34" s="1031"/>
      <c r="G34" s="1022"/>
      <c r="H34" s="1023"/>
      <c r="I34" s="1023"/>
      <c r="J34" s="1023"/>
      <c r="K34" s="1024"/>
      <c r="L34" s="1024"/>
      <c r="M34" s="1025"/>
      <c r="N34" s="1025"/>
      <c r="O34" s="750"/>
      <c r="P34" s="750"/>
      <c r="Q34" s="750"/>
      <c r="R34" s="1026"/>
      <c r="S34" s="1036"/>
      <c r="T34" s="1036"/>
      <c r="U34" s="1036"/>
      <c r="V34" s="1021"/>
      <c r="W34" s="1021"/>
      <c r="X34" s="1034"/>
      <c r="Y34" s="1034"/>
      <c r="Z34" s="1035"/>
      <c r="AA34" s="1033"/>
      <c r="AB34" s="750"/>
      <c r="AC34" s="760"/>
      <c r="AD34" s="1004"/>
      <c r="AE34" s="1004"/>
      <c r="AF34" s="1004"/>
      <c r="AG34" s="1004"/>
      <c r="AH34" s="833"/>
    </row>
    <row r="35" spans="1:34" ht="18.600000000000001" customHeight="1" x14ac:dyDescent="0.25">
      <c r="A35" s="851"/>
      <c r="B35" s="851"/>
      <c r="C35" s="851"/>
      <c r="D35" s="851"/>
      <c r="E35" s="1031"/>
      <c r="F35" s="1024"/>
      <c r="G35" s="1022"/>
      <c r="H35" s="1023"/>
      <c r="I35" s="1023"/>
      <c r="J35" s="1023"/>
      <c r="K35" s="1024"/>
      <c r="L35" s="1024"/>
      <c r="M35" s="1025"/>
      <c r="N35" s="1025"/>
      <c r="O35" s="750"/>
      <c r="P35" s="750"/>
      <c r="Q35" s="750"/>
      <c r="R35" s="1026"/>
      <c r="S35" s="1036"/>
      <c r="T35" s="1036"/>
      <c r="U35" s="1036"/>
      <c r="V35" s="1021"/>
      <c r="W35" s="1021"/>
      <c r="X35" s="1034"/>
      <c r="Y35" s="1034"/>
      <c r="Z35" s="1035"/>
      <c r="AA35" s="1033"/>
      <c r="AB35" s="750"/>
      <c r="AC35" s="760"/>
      <c r="AD35" s="1004"/>
      <c r="AE35" s="1004"/>
      <c r="AF35" s="1004"/>
      <c r="AG35" s="1004"/>
      <c r="AH35" s="833"/>
    </row>
    <row r="36" spans="1:34" ht="18.600000000000001" customHeight="1" x14ac:dyDescent="0.25">
      <c r="A36" s="851"/>
      <c r="B36" s="851"/>
      <c r="C36" s="851"/>
      <c r="D36" s="851"/>
      <c r="E36" s="1031"/>
      <c r="F36" s="1024"/>
      <c r="G36" s="1022"/>
      <c r="H36" s="1023"/>
      <c r="I36" s="1023"/>
      <c r="J36" s="1024"/>
      <c r="K36" s="1024"/>
      <c r="L36" s="1024"/>
      <c r="M36" s="1025"/>
      <c r="N36" s="1025"/>
      <c r="O36" s="750"/>
      <c r="P36" s="750"/>
      <c r="Q36" s="750"/>
      <c r="R36" s="1026"/>
      <c r="S36" s="1036"/>
      <c r="T36" s="1036"/>
      <c r="U36" s="1036"/>
      <c r="V36" s="1021"/>
      <c r="W36" s="1021"/>
      <c r="X36" s="1034"/>
      <c r="Y36" s="1034"/>
      <c r="Z36" s="1035"/>
      <c r="AA36" s="1033"/>
      <c r="AB36" s="750"/>
      <c r="AC36" s="760"/>
      <c r="AD36" s="1004"/>
      <c r="AE36" s="1004"/>
      <c r="AF36" s="1004"/>
      <c r="AG36" s="1004"/>
      <c r="AH36" s="833"/>
    </row>
    <row r="37" spans="1:34" x14ac:dyDescent="0.25">
      <c r="A37" s="833"/>
      <c r="B37" s="833"/>
      <c r="C37" s="833"/>
      <c r="D37" s="833"/>
      <c r="E37" s="1037"/>
      <c r="F37" s="1038"/>
      <c r="G37" s="1039"/>
      <c r="H37" s="1040"/>
      <c r="I37" s="1040"/>
      <c r="J37" s="1040"/>
      <c r="K37" s="1040"/>
      <c r="L37" s="1038"/>
      <c r="M37" s="1040"/>
      <c r="N37" s="1040"/>
      <c r="O37" s="833"/>
      <c r="P37" s="833"/>
      <c r="Q37" s="833"/>
      <c r="R37" s="1041"/>
      <c r="S37" s="1042"/>
      <c r="T37" s="1042"/>
      <c r="U37" s="1042"/>
      <c r="V37" s="1043"/>
      <c r="W37" s="1043"/>
      <c r="X37" s="1044"/>
      <c r="Y37" s="1044"/>
      <c r="Z37" s="1045"/>
      <c r="AA37" s="1046"/>
      <c r="AB37" s="852"/>
      <c r="AC37" s="760"/>
      <c r="AD37" s="1004"/>
      <c r="AE37" s="1004"/>
      <c r="AF37" s="1004"/>
      <c r="AG37" s="1004"/>
      <c r="AH37" s="833"/>
    </row>
    <row r="38" spans="1:34" x14ac:dyDescent="0.25">
      <c r="A38" s="833"/>
      <c r="B38" s="833"/>
      <c r="C38" s="833"/>
      <c r="D38" s="833"/>
      <c r="E38" s="852"/>
      <c r="F38" s="1047"/>
      <c r="G38" s="853"/>
      <c r="H38" s="853"/>
      <c r="I38" s="853"/>
      <c r="J38" s="853"/>
      <c r="K38" s="853"/>
      <c r="L38" s="853"/>
      <c r="M38" s="853"/>
      <c r="N38" s="853"/>
      <c r="O38" s="833"/>
      <c r="P38" s="833"/>
      <c r="Q38" s="833"/>
      <c r="R38" s="852"/>
      <c r="S38" s="854"/>
      <c r="T38" s="852"/>
      <c r="U38" s="852"/>
      <c r="V38" s="854"/>
      <c r="W38" s="854"/>
      <c r="X38" s="852"/>
      <c r="Y38" s="852"/>
      <c r="Z38" s="852"/>
      <c r="AA38" s="852"/>
      <c r="AB38" s="852"/>
      <c r="AC38" s="760"/>
      <c r="AD38" s="1004"/>
      <c r="AE38" s="1004"/>
      <c r="AF38" s="1004"/>
      <c r="AG38" s="1004"/>
      <c r="AH38" s="833"/>
    </row>
    <row r="39" spans="1:34" x14ac:dyDescent="0.25">
      <c r="A39" s="833"/>
      <c r="B39" s="833"/>
      <c r="C39" s="833"/>
      <c r="D39" s="833"/>
      <c r="E39" s="852"/>
      <c r="F39" s="1047"/>
      <c r="G39" s="852"/>
      <c r="H39" s="852"/>
      <c r="I39" s="852"/>
      <c r="J39" s="852"/>
      <c r="K39" s="852"/>
      <c r="L39" s="852"/>
      <c r="M39" s="852"/>
      <c r="N39" s="852"/>
      <c r="O39" s="833"/>
      <c r="P39" s="833"/>
      <c r="Q39" s="833"/>
      <c r="R39" s="852"/>
      <c r="S39" s="854"/>
      <c r="T39" s="852"/>
      <c r="U39" s="852"/>
      <c r="V39" s="854"/>
      <c r="W39" s="854"/>
      <c r="X39" s="852"/>
      <c r="Y39" s="852"/>
      <c r="Z39" s="852"/>
      <c r="AA39" s="852"/>
      <c r="AB39" s="852"/>
      <c r="AC39" s="760"/>
      <c r="AD39" s="1004"/>
      <c r="AE39" s="1004"/>
      <c r="AF39" s="1004"/>
      <c r="AG39" s="1004"/>
      <c r="AH39" s="833"/>
    </row>
    <row r="40" spans="1:34" x14ac:dyDescent="0.25">
      <c r="A40" s="833"/>
      <c r="B40" s="833"/>
      <c r="C40" s="833"/>
      <c r="D40" s="833"/>
      <c r="E40" s="852"/>
      <c r="F40" s="1047"/>
      <c r="G40" s="853"/>
      <c r="H40" s="853"/>
      <c r="I40" s="853"/>
      <c r="J40" s="853"/>
      <c r="K40" s="853"/>
      <c r="L40" s="853"/>
      <c r="M40" s="853"/>
      <c r="N40" s="853"/>
      <c r="O40" s="833"/>
      <c r="P40" s="833"/>
      <c r="Q40" s="833"/>
      <c r="R40" s="852"/>
      <c r="S40" s="854"/>
      <c r="T40" s="852"/>
      <c r="U40" s="852"/>
      <c r="V40" s="854"/>
      <c r="W40" s="854"/>
      <c r="X40" s="852"/>
      <c r="Y40" s="852"/>
      <c r="Z40" s="852"/>
      <c r="AA40" s="852"/>
      <c r="AB40" s="852"/>
      <c r="AC40" s="760"/>
      <c r="AD40" s="1004"/>
      <c r="AE40" s="1004"/>
      <c r="AF40" s="1004"/>
      <c r="AG40" s="1004"/>
      <c r="AH40" s="833"/>
    </row>
    <row r="41" spans="1:34" x14ac:dyDescent="0.25">
      <c r="A41" s="833"/>
      <c r="B41" s="833"/>
      <c r="C41" s="833"/>
      <c r="D41" s="833"/>
      <c r="E41" s="852"/>
      <c r="F41" s="852"/>
      <c r="G41" s="853"/>
      <c r="H41" s="853"/>
      <c r="I41" s="853"/>
      <c r="J41" s="853"/>
      <c r="K41" s="853"/>
      <c r="L41" s="853"/>
      <c r="M41" s="853"/>
      <c r="N41" s="853"/>
      <c r="O41" s="833"/>
      <c r="P41" s="833"/>
      <c r="Q41" s="833"/>
      <c r="R41" s="852"/>
      <c r="S41" s="854"/>
      <c r="T41" s="852"/>
      <c r="U41" s="852"/>
      <c r="V41" s="854"/>
      <c r="W41" s="854"/>
      <c r="X41" s="852"/>
      <c r="Y41" s="852"/>
      <c r="Z41" s="852"/>
      <c r="AA41" s="852"/>
      <c r="AB41" s="852"/>
      <c r="AC41" s="852"/>
      <c r="AD41" s="833"/>
      <c r="AE41" s="833"/>
      <c r="AF41" s="833"/>
      <c r="AG41" s="833"/>
      <c r="AH41" s="833"/>
    </row>
    <row r="42" spans="1:34" x14ac:dyDescent="0.25">
      <c r="A42" s="838"/>
      <c r="B42" s="838"/>
      <c r="C42" s="833"/>
      <c r="D42" s="833"/>
      <c r="E42" s="852"/>
      <c r="F42" s="852"/>
      <c r="G42" s="853"/>
      <c r="H42" s="853"/>
      <c r="I42" s="853"/>
      <c r="J42" s="853"/>
      <c r="K42" s="853"/>
      <c r="L42" s="853"/>
      <c r="M42" s="853"/>
      <c r="N42" s="853"/>
      <c r="O42" s="833"/>
      <c r="P42" s="833"/>
      <c r="Q42" s="833"/>
      <c r="R42" s="852"/>
      <c r="S42" s="854"/>
      <c r="T42" s="852"/>
      <c r="U42" s="852"/>
      <c r="V42" s="854"/>
      <c r="W42" s="854"/>
      <c r="X42" s="852"/>
      <c r="Y42" s="852"/>
      <c r="Z42" s="852"/>
      <c r="AA42" s="852"/>
      <c r="AB42" s="852"/>
      <c r="AC42" s="852"/>
      <c r="AD42" s="833"/>
      <c r="AE42" s="833"/>
      <c r="AF42" s="833"/>
      <c r="AG42" s="833"/>
      <c r="AH42" s="833"/>
    </row>
    <row r="43" spans="1:34" x14ac:dyDescent="0.25">
      <c r="A43" s="838"/>
      <c r="B43" s="838"/>
      <c r="C43" s="833"/>
      <c r="D43" s="833"/>
      <c r="E43" s="852"/>
      <c r="F43" s="852"/>
      <c r="G43" s="853"/>
      <c r="H43" s="853"/>
      <c r="I43" s="853"/>
      <c r="J43" s="853"/>
      <c r="K43" s="853"/>
      <c r="L43" s="853"/>
      <c r="M43" s="853"/>
      <c r="N43" s="853"/>
      <c r="O43" s="833"/>
      <c r="P43" s="833"/>
      <c r="Q43" s="833"/>
      <c r="R43" s="852"/>
      <c r="S43" s="854"/>
      <c r="T43" s="852"/>
      <c r="U43" s="852"/>
      <c r="V43" s="854"/>
      <c r="W43" s="854"/>
      <c r="X43" s="852"/>
      <c r="Y43" s="852"/>
      <c r="Z43" s="852"/>
      <c r="AA43" s="852"/>
      <c r="AB43" s="852"/>
      <c r="AC43" s="852"/>
      <c r="AD43" s="833"/>
      <c r="AE43" s="833"/>
      <c r="AF43" s="833"/>
      <c r="AG43" s="833"/>
      <c r="AH43" s="833"/>
    </row>
    <row r="44" spans="1:34" x14ac:dyDescent="0.25">
      <c r="A44" s="838"/>
      <c r="B44" s="838"/>
      <c r="C44" s="833"/>
      <c r="D44" s="833"/>
      <c r="E44" s="852"/>
      <c r="F44" s="852"/>
      <c r="G44" s="853"/>
      <c r="H44" s="853"/>
      <c r="I44" s="853"/>
      <c r="J44" s="853"/>
      <c r="K44" s="853"/>
      <c r="L44" s="853"/>
      <c r="M44" s="853"/>
      <c r="N44" s="853"/>
      <c r="O44" s="833"/>
      <c r="P44" s="833"/>
      <c r="Q44" s="833"/>
      <c r="R44" s="852"/>
      <c r="S44" s="854"/>
      <c r="T44" s="852"/>
      <c r="U44" s="852"/>
      <c r="V44" s="854"/>
      <c r="W44" s="854"/>
      <c r="X44" s="852"/>
      <c r="Y44" s="852"/>
      <c r="Z44" s="852"/>
      <c r="AA44" s="852"/>
      <c r="AB44" s="852"/>
      <c r="AC44" s="852"/>
      <c r="AD44" s="833"/>
      <c r="AE44" s="833"/>
      <c r="AF44" s="833"/>
      <c r="AG44" s="833"/>
      <c r="AH44" s="833"/>
    </row>
    <row r="45" spans="1:34" x14ac:dyDescent="0.25">
      <c r="A45" s="833"/>
      <c r="B45" s="833"/>
      <c r="C45" s="833"/>
      <c r="D45" s="833"/>
      <c r="E45" s="852"/>
      <c r="F45" s="833"/>
      <c r="G45" s="853"/>
      <c r="H45" s="853"/>
      <c r="I45" s="853"/>
      <c r="J45" s="853"/>
      <c r="K45" s="853"/>
      <c r="L45" s="853"/>
      <c r="M45" s="853"/>
      <c r="N45" s="853"/>
      <c r="O45" s="833"/>
      <c r="P45" s="833"/>
      <c r="Q45" s="833"/>
      <c r="R45" s="852"/>
      <c r="S45" s="854"/>
      <c r="T45" s="852"/>
      <c r="U45" s="852"/>
      <c r="V45" s="854"/>
      <c r="W45" s="854"/>
      <c r="X45" s="852"/>
      <c r="Y45" s="852"/>
      <c r="Z45" s="852"/>
      <c r="AA45" s="852"/>
      <c r="AB45" s="852"/>
      <c r="AC45" s="852"/>
      <c r="AD45" s="833"/>
      <c r="AE45" s="833"/>
      <c r="AF45" s="833"/>
      <c r="AG45" s="833"/>
      <c r="AH45" s="833"/>
    </row>
    <row r="46" spans="1:34" x14ac:dyDescent="0.25">
      <c r="A46" s="833"/>
      <c r="B46" s="833"/>
      <c r="C46" s="833"/>
      <c r="D46" s="833"/>
      <c r="E46" s="852"/>
      <c r="F46" s="833"/>
      <c r="G46" s="853"/>
      <c r="H46" s="853"/>
      <c r="I46" s="853"/>
      <c r="J46" s="853"/>
      <c r="K46" s="853"/>
      <c r="L46" s="853"/>
      <c r="M46" s="853"/>
      <c r="N46" s="853"/>
      <c r="O46" s="833"/>
      <c r="P46" s="833"/>
      <c r="Q46" s="833"/>
      <c r="R46" s="852"/>
      <c r="S46" s="854"/>
      <c r="T46" s="852"/>
      <c r="U46" s="852"/>
      <c r="V46" s="854"/>
      <c r="W46" s="854"/>
      <c r="X46" s="852"/>
      <c r="Y46" s="852"/>
      <c r="Z46" s="852"/>
      <c r="AA46" s="852"/>
      <c r="AB46" s="852"/>
      <c r="AC46" s="852"/>
      <c r="AD46" s="833"/>
      <c r="AE46" s="833"/>
      <c r="AF46" s="833"/>
      <c r="AG46" s="833"/>
      <c r="AH46" s="833"/>
    </row>
    <row r="47" spans="1:34" x14ac:dyDescent="0.25">
      <c r="A47" s="833"/>
      <c r="B47" s="833"/>
      <c r="C47" s="833"/>
      <c r="D47" s="833"/>
      <c r="E47" s="852"/>
      <c r="F47" s="833"/>
      <c r="G47" s="853"/>
      <c r="H47" s="853"/>
      <c r="I47" s="853"/>
      <c r="J47" s="853"/>
      <c r="K47" s="853"/>
      <c r="L47" s="853"/>
      <c r="M47" s="853"/>
      <c r="N47" s="853"/>
      <c r="O47" s="833"/>
      <c r="P47" s="833"/>
      <c r="Q47" s="833"/>
      <c r="R47" s="852"/>
      <c r="S47" s="854"/>
      <c r="T47" s="852"/>
      <c r="U47" s="852"/>
      <c r="V47" s="854"/>
      <c r="W47" s="854"/>
      <c r="X47" s="852"/>
      <c r="Y47" s="852"/>
      <c r="Z47" s="852"/>
      <c r="AA47" s="852"/>
      <c r="AB47" s="852"/>
      <c r="AC47" s="852"/>
      <c r="AD47" s="833"/>
      <c r="AE47" s="833"/>
      <c r="AF47" s="833"/>
      <c r="AG47" s="833"/>
      <c r="AH47" s="833"/>
    </row>
    <row r="48" spans="1:34" x14ac:dyDescent="0.25">
      <c r="A48" s="833"/>
      <c r="B48" s="833"/>
      <c r="C48" s="833"/>
      <c r="D48" s="833"/>
      <c r="E48" s="852"/>
      <c r="F48" s="833"/>
      <c r="G48" s="853"/>
      <c r="H48" s="853"/>
      <c r="I48" s="853"/>
      <c r="J48" s="853"/>
      <c r="K48" s="853"/>
      <c r="L48" s="853"/>
      <c r="M48" s="853"/>
      <c r="N48" s="853"/>
      <c r="O48" s="833"/>
      <c r="P48" s="833"/>
      <c r="Q48" s="833"/>
      <c r="R48" s="852"/>
      <c r="S48" s="854"/>
      <c r="T48" s="852"/>
      <c r="U48" s="852"/>
      <c r="V48" s="854"/>
      <c r="W48" s="854"/>
      <c r="X48" s="852"/>
      <c r="Y48" s="852"/>
      <c r="Z48" s="852"/>
      <c r="AA48" s="852"/>
      <c r="AB48" s="852"/>
      <c r="AC48" s="852"/>
      <c r="AD48" s="833"/>
      <c r="AE48" s="833"/>
      <c r="AF48" s="833"/>
      <c r="AG48" s="833"/>
      <c r="AH48" s="833"/>
    </row>
    <row r="49" spans="1:34" x14ac:dyDescent="0.25">
      <c r="A49" s="833"/>
      <c r="B49" s="833"/>
      <c r="C49" s="833"/>
      <c r="D49" s="833"/>
      <c r="E49" s="852"/>
      <c r="F49" s="833"/>
      <c r="G49" s="853"/>
      <c r="H49" s="853"/>
      <c r="I49" s="853"/>
      <c r="J49" s="853"/>
      <c r="K49" s="853"/>
      <c r="L49" s="853"/>
      <c r="M49" s="853"/>
      <c r="N49" s="853"/>
      <c r="O49" s="833"/>
      <c r="P49" s="833"/>
      <c r="Q49" s="833"/>
      <c r="R49" s="852"/>
      <c r="S49" s="854"/>
      <c r="T49" s="852"/>
      <c r="U49" s="852"/>
      <c r="V49" s="854"/>
      <c r="W49" s="854"/>
      <c r="X49" s="852"/>
      <c r="Y49" s="852"/>
      <c r="Z49" s="852"/>
      <c r="AA49" s="852"/>
      <c r="AB49" s="852"/>
      <c r="AC49" s="852"/>
      <c r="AD49" s="833"/>
      <c r="AE49" s="833"/>
      <c r="AF49" s="833"/>
      <c r="AG49" s="833"/>
      <c r="AH49" s="833"/>
    </row>
    <row r="50" spans="1:34" x14ac:dyDescent="0.25">
      <c r="A50" s="833"/>
      <c r="B50" s="833"/>
      <c r="C50" s="833"/>
      <c r="D50" s="833"/>
      <c r="E50" s="852"/>
      <c r="F50" s="833"/>
      <c r="G50" s="943"/>
      <c r="H50" s="943"/>
      <c r="I50" s="943"/>
      <c r="J50" s="943"/>
      <c r="K50" s="943"/>
      <c r="L50" s="943"/>
      <c r="M50" s="943"/>
      <c r="N50" s="943"/>
      <c r="O50" s="833"/>
      <c r="P50" s="833"/>
      <c r="Q50" s="833"/>
      <c r="R50" s="852"/>
      <c r="S50" s="854"/>
      <c r="T50" s="852"/>
      <c r="U50" s="852"/>
      <c r="V50" s="854"/>
      <c r="W50" s="854"/>
      <c r="X50" s="852"/>
      <c r="Y50" s="852"/>
      <c r="Z50" s="852"/>
      <c r="AA50" s="852"/>
      <c r="AB50" s="852"/>
      <c r="AC50" s="852"/>
      <c r="AD50" s="833"/>
      <c r="AE50" s="833"/>
      <c r="AF50" s="833"/>
      <c r="AG50" s="833"/>
      <c r="AH50" s="833"/>
    </row>
    <row r="51" spans="1:34" x14ac:dyDescent="0.25">
      <c r="A51" s="833"/>
      <c r="B51" s="833"/>
      <c r="C51" s="833"/>
      <c r="D51" s="833"/>
      <c r="E51" s="833"/>
      <c r="F51" s="833"/>
      <c r="G51" s="833"/>
      <c r="H51" s="833"/>
      <c r="I51" s="833"/>
      <c r="J51" s="833"/>
      <c r="K51" s="833"/>
      <c r="L51" s="833"/>
      <c r="M51" s="833"/>
      <c r="N51" s="833"/>
      <c r="O51" s="833"/>
      <c r="P51" s="833"/>
      <c r="Q51" s="833"/>
      <c r="R51" s="852"/>
      <c r="S51" s="854"/>
      <c r="T51" s="852"/>
      <c r="U51" s="852"/>
      <c r="V51" s="854"/>
      <c r="W51" s="854"/>
      <c r="X51" s="852"/>
      <c r="Y51" s="852"/>
      <c r="Z51" s="852"/>
      <c r="AA51" s="852"/>
      <c r="AB51" s="852"/>
      <c r="AC51" s="852"/>
      <c r="AD51" s="833"/>
      <c r="AE51" s="833"/>
      <c r="AF51" s="833"/>
      <c r="AG51" s="833"/>
      <c r="AH51" s="833"/>
    </row>
    <row r="52" spans="1:34" x14ac:dyDescent="0.25">
      <c r="A52" s="833"/>
      <c r="B52" s="833"/>
      <c r="C52" s="833"/>
      <c r="D52" s="833"/>
      <c r="E52" s="833"/>
      <c r="F52" s="833"/>
      <c r="G52" s="833"/>
      <c r="H52" s="833"/>
      <c r="I52" s="833"/>
      <c r="J52" s="833"/>
      <c r="K52" s="833"/>
      <c r="L52" s="833"/>
      <c r="M52" s="833"/>
      <c r="N52" s="833"/>
      <c r="O52" s="833"/>
      <c r="P52" s="833"/>
      <c r="Q52" s="833"/>
      <c r="R52" s="852"/>
      <c r="S52" s="854"/>
      <c r="T52" s="852"/>
      <c r="U52" s="852"/>
      <c r="V52" s="854"/>
      <c r="W52" s="854"/>
      <c r="X52" s="852"/>
      <c r="Y52" s="852"/>
      <c r="Z52" s="852"/>
      <c r="AA52" s="852"/>
      <c r="AB52" s="852"/>
      <c r="AC52" s="852"/>
      <c r="AD52" s="833"/>
      <c r="AE52" s="833"/>
      <c r="AF52" s="833"/>
      <c r="AG52" s="833"/>
      <c r="AH52" s="833"/>
    </row>
    <row r="53" spans="1:34" x14ac:dyDescent="0.25">
      <c r="A53" s="833"/>
      <c r="B53" s="833"/>
      <c r="C53" s="833"/>
      <c r="D53" s="833"/>
      <c r="E53" s="833"/>
      <c r="F53" s="833"/>
      <c r="G53" s="833"/>
      <c r="H53" s="833"/>
      <c r="I53" s="833"/>
      <c r="J53" s="833"/>
      <c r="K53" s="833"/>
      <c r="L53" s="833"/>
      <c r="M53" s="833"/>
      <c r="N53" s="833"/>
      <c r="O53" s="833"/>
      <c r="P53" s="833"/>
      <c r="Q53" s="833"/>
      <c r="R53" s="852"/>
      <c r="S53" s="854"/>
      <c r="T53" s="852"/>
      <c r="U53" s="852"/>
      <c r="V53" s="854"/>
      <c r="W53" s="854"/>
      <c r="X53" s="852"/>
      <c r="Y53" s="852"/>
      <c r="Z53" s="852"/>
      <c r="AA53" s="852"/>
      <c r="AB53" s="852"/>
      <c r="AC53" s="852"/>
      <c r="AD53" s="833"/>
      <c r="AE53" s="833"/>
      <c r="AF53" s="833"/>
      <c r="AG53" s="833"/>
      <c r="AH53" s="833"/>
    </row>
    <row r="54" spans="1:34" x14ac:dyDescent="0.25">
      <c r="A54" s="833"/>
      <c r="B54" s="833"/>
      <c r="C54" s="833"/>
      <c r="D54" s="833"/>
      <c r="E54" s="833"/>
      <c r="F54" s="833"/>
      <c r="G54" s="833"/>
      <c r="H54" s="833"/>
      <c r="I54" s="833"/>
      <c r="J54" s="833"/>
      <c r="K54" s="833"/>
      <c r="L54" s="833"/>
      <c r="M54" s="833"/>
      <c r="N54" s="833"/>
      <c r="O54" s="833"/>
      <c r="P54" s="833"/>
      <c r="Q54" s="833"/>
      <c r="R54" s="852"/>
      <c r="S54" s="852"/>
      <c r="T54" s="852"/>
      <c r="U54" s="852"/>
      <c r="V54" s="852"/>
      <c r="W54" s="852"/>
      <c r="X54" s="852"/>
      <c r="Y54" s="852"/>
      <c r="Z54" s="852"/>
      <c r="AA54" s="852"/>
      <c r="AB54" s="852"/>
      <c r="AC54" s="852"/>
      <c r="AD54" s="833"/>
      <c r="AE54" s="833"/>
      <c r="AF54" s="833"/>
      <c r="AG54" s="833"/>
      <c r="AH54" s="833"/>
    </row>
    <row r="55" spans="1:34" x14ac:dyDescent="0.25">
      <c r="A55" s="833"/>
      <c r="B55" s="833"/>
      <c r="C55" s="833"/>
      <c r="D55" s="833"/>
      <c r="E55" s="833"/>
      <c r="F55" s="833"/>
      <c r="G55" s="833"/>
      <c r="H55" s="833"/>
      <c r="I55" s="833"/>
      <c r="J55" s="833"/>
      <c r="K55" s="833"/>
      <c r="L55" s="833"/>
      <c r="M55" s="833"/>
      <c r="N55" s="833"/>
      <c r="O55" s="833"/>
      <c r="P55" s="833"/>
      <c r="Q55" s="833"/>
      <c r="R55" s="852"/>
      <c r="S55" s="852"/>
      <c r="T55" s="852"/>
      <c r="U55" s="852"/>
      <c r="V55" s="852"/>
      <c r="W55" s="852"/>
      <c r="X55" s="852"/>
      <c r="Y55" s="852"/>
      <c r="Z55" s="852"/>
      <c r="AA55" s="852"/>
      <c r="AB55" s="852"/>
      <c r="AC55" s="852"/>
      <c r="AD55" s="833"/>
      <c r="AE55" s="833"/>
      <c r="AF55" s="833"/>
      <c r="AG55" s="833"/>
      <c r="AH55" s="833"/>
    </row>
    <row r="56" spans="1:34" x14ac:dyDescent="0.25">
      <c r="A56" s="833"/>
      <c r="B56" s="833"/>
      <c r="C56" s="833"/>
      <c r="D56" s="833"/>
      <c r="E56" s="833"/>
      <c r="F56" s="833"/>
      <c r="G56" s="833"/>
      <c r="H56" s="833"/>
      <c r="I56" s="833"/>
      <c r="J56" s="833"/>
      <c r="K56" s="833"/>
      <c r="L56" s="833"/>
      <c r="M56" s="833"/>
      <c r="N56" s="833"/>
      <c r="O56" s="833"/>
      <c r="P56" s="833"/>
      <c r="Q56" s="833"/>
      <c r="R56" s="852"/>
      <c r="S56" s="852"/>
      <c r="T56" s="852"/>
      <c r="U56" s="852"/>
      <c r="V56" s="852"/>
      <c r="W56" s="852"/>
      <c r="X56" s="852"/>
      <c r="Y56" s="852"/>
      <c r="Z56" s="852"/>
      <c r="AA56" s="852"/>
      <c r="AB56" s="852"/>
      <c r="AC56" s="852"/>
      <c r="AD56" s="833"/>
      <c r="AE56" s="833"/>
      <c r="AF56" s="833"/>
      <c r="AG56" s="833"/>
      <c r="AH56" s="833"/>
    </row>
    <row r="57" spans="1:34" x14ac:dyDescent="0.25">
      <c r="A57" s="833"/>
      <c r="B57" s="833"/>
      <c r="C57" s="833"/>
      <c r="D57" s="833"/>
      <c r="E57" s="833"/>
      <c r="F57" s="833"/>
      <c r="G57" s="833"/>
      <c r="H57" s="833"/>
      <c r="I57" s="833"/>
      <c r="J57" s="833"/>
      <c r="K57" s="833"/>
      <c r="L57" s="833"/>
      <c r="M57" s="833"/>
      <c r="N57" s="833"/>
      <c r="O57" s="833"/>
      <c r="P57" s="833"/>
      <c r="Q57" s="833"/>
      <c r="R57" s="852"/>
      <c r="S57" s="852"/>
      <c r="T57" s="852"/>
      <c r="U57" s="852"/>
      <c r="V57" s="852"/>
      <c r="W57" s="852"/>
      <c r="X57" s="852"/>
      <c r="Y57" s="852"/>
      <c r="Z57" s="852"/>
      <c r="AA57" s="852"/>
      <c r="AB57" s="852"/>
      <c r="AC57" s="852"/>
      <c r="AD57" s="833"/>
      <c r="AE57" s="833"/>
      <c r="AF57" s="833"/>
      <c r="AG57" s="833"/>
      <c r="AH57" s="833"/>
    </row>
    <row r="77" spans="10:10" x14ac:dyDescent="0.25">
      <c r="J77" s="999"/>
    </row>
    <row r="78" spans="10:10" x14ac:dyDescent="0.25">
      <c r="J78" s="999"/>
    </row>
    <row r="79" spans="10:10" x14ac:dyDescent="0.25">
      <c r="J79" s="999"/>
    </row>
    <row r="80" spans="10:10" x14ac:dyDescent="0.25">
      <c r="J80" s="999"/>
    </row>
    <row r="81" spans="10:10" x14ac:dyDescent="0.25">
      <c r="J81" s="999"/>
    </row>
    <row r="82" spans="10:10" x14ac:dyDescent="0.25">
      <c r="J82" s="999"/>
    </row>
    <row r="83" spans="10:10" x14ac:dyDescent="0.25">
      <c r="J83" s="999"/>
    </row>
    <row r="84" spans="10:10" x14ac:dyDescent="0.25">
      <c r="J84" s="999"/>
    </row>
    <row r="85" spans="10:10" x14ac:dyDescent="0.25">
      <c r="J85" s="999"/>
    </row>
    <row r="86" spans="10:10" x14ac:dyDescent="0.25">
      <c r="J86" s="999"/>
    </row>
    <row r="87" spans="10:10" x14ac:dyDescent="0.25">
      <c r="J87" s="999"/>
    </row>
    <row r="88" spans="10:10" x14ac:dyDescent="0.25">
      <c r="J88" s="999"/>
    </row>
    <row r="89" spans="10:10" x14ac:dyDescent="0.25">
      <c r="J89" s="999"/>
    </row>
    <row r="90" spans="10:10" x14ac:dyDescent="0.25">
      <c r="J90" s="999"/>
    </row>
    <row r="91" spans="10:10" x14ac:dyDescent="0.25">
      <c r="J91" s="999"/>
    </row>
    <row r="92" spans="10:10" x14ac:dyDescent="0.25">
      <c r="J92" s="999"/>
    </row>
    <row r="93" spans="10:10" x14ac:dyDescent="0.25">
      <c r="J93" s="999"/>
    </row>
    <row r="94" spans="10:10" x14ac:dyDescent="0.25">
      <c r="J94" s="999"/>
    </row>
    <row r="95" spans="10:10" x14ac:dyDescent="0.25">
      <c r="J95" s="999"/>
    </row>
    <row r="96" spans="10:10" x14ac:dyDescent="0.25">
      <c r="J96" s="999"/>
    </row>
  </sheetData>
  <sortState ref="E22:N30">
    <sortCondition ref="E22:E30"/>
  </sortState>
  <mergeCells count="14">
    <mergeCell ref="G10:N10"/>
    <mergeCell ref="C16:E17"/>
    <mergeCell ref="I4:O4"/>
    <mergeCell ref="E20:AA20"/>
    <mergeCell ref="R1:T1"/>
    <mergeCell ref="B8:F10"/>
    <mergeCell ref="G9:N9"/>
    <mergeCell ref="B1:O1"/>
    <mergeCell ref="B2:O2"/>
    <mergeCell ref="B6:O6"/>
    <mergeCell ref="B7:N7"/>
    <mergeCell ref="G8:N8"/>
    <mergeCell ref="R13:R14"/>
    <mergeCell ref="T13:T14"/>
  </mergeCells>
  <dataValidations count="2">
    <dataValidation type="list" allowBlank="1" showInputMessage="1" showErrorMessage="1" sqref="R15">
      <formula1>$R$2:$R$12</formula1>
    </dataValidation>
    <dataValidation type="list" allowBlank="1" showInputMessage="1" showErrorMessage="1" sqref="T15">
      <formula1>$T$2:$T$12</formula1>
    </dataValidation>
  </dataValidations>
  <pageMargins left="0.70866141732283472" right="0.70866141732283472" top="0.74803149606299213" bottom="0.74803149606299213" header="0.31496062992125984" footer="0.31496062992125984"/>
  <pageSetup paperSize="9" scale="53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pageSetUpPr fitToPage="1"/>
  </sheetPr>
  <dimension ref="A1:Y59"/>
  <sheetViews>
    <sheetView showGridLines="0" showRowColHeaders="0" zoomScale="90" zoomScaleNormal="90" workbookViewId="0"/>
  </sheetViews>
  <sheetFormatPr defaultColWidth="11.42578125" defaultRowHeight="15" outlineLevelRow="1" x14ac:dyDescent="0.25"/>
  <cols>
    <col min="1" max="1" width="3.7109375" style="664" customWidth="1"/>
    <col min="2" max="2" width="7.7109375" style="664" customWidth="1"/>
    <col min="3" max="3" width="26.85546875" style="664" customWidth="1"/>
    <col min="4" max="4" width="3.7109375" style="664" customWidth="1"/>
    <col min="5" max="5" width="9.5703125" style="664" customWidth="1"/>
    <col min="6" max="6" width="3.85546875" style="664" customWidth="1"/>
    <col min="7" max="7" width="9.42578125" style="951" customWidth="1"/>
    <col min="8" max="8" width="3.85546875" style="951" customWidth="1"/>
    <col min="9" max="9" width="10" style="664" customWidth="1"/>
    <col min="10" max="10" width="3.85546875" style="664" customWidth="1"/>
    <col min="11" max="11" width="10.28515625" style="664" customWidth="1"/>
    <col min="12" max="12" width="3" style="664" customWidth="1"/>
    <col min="13" max="13" width="10.28515625" style="664" customWidth="1"/>
    <col min="14" max="14" width="3.28515625" style="664" customWidth="1"/>
    <col min="15" max="15" width="10.28515625" style="664" customWidth="1"/>
    <col min="16" max="16" width="4.28515625" style="664" customWidth="1"/>
    <col min="17" max="17" width="12.42578125" style="664" customWidth="1"/>
    <col min="18" max="18" width="3.140625" style="664" customWidth="1"/>
    <col min="19" max="19" width="7.7109375" style="664" customWidth="1"/>
    <col min="20" max="20" width="3.5703125" style="664" customWidth="1"/>
    <col min="21" max="21" width="10.28515625" style="664" customWidth="1"/>
    <col min="22" max="22" width="3.85546875" style="664" customWidth="1"/>
    <col min="23" max="23" width="8.5703125" style="664" customWidth="1"/>
    <col min="24" max="24" width="9.85546875" style="664" customWidth="1"/>
    <col min="25" max="25" width="4.42578125" style="664" customWidth="1"/>
    <col min="26" max="16384" width="11.42578125" style="664"/>
  </cols>
  <sheetData>
    <row r="1" spans="1:25" ht="60" customHeight="1" thickBot="1" x14ac:dyDescent="0.3">
      <c r="A1" s="497"/>
      <c r="B1" s="1507" t="s">
        <v>1275</v>
      </c>
      <c r="C1" s="1507"/>
      <c r="D1" s="1507"/>
      <c r="E1" s="1507"/>
      <c r="F1" s="1507"/>
      <c r="G1" s="1507"/>
      <c r="H1" s="1507"/>
      <c r="I1" s="1507"/>
      <c r="J1" s="1507"/>
      <c r="K1" s="1507"/>
      <c r="L1" s="1507"/>
      <c r="M1" s="1507"/>
      <c r="N1" s="1507"/>
      <c r="O1" s="1507"/>
      <c r="P1" s="1507"/>
      <c r="Q1" s="1507"/>
      <c r="R1" s="1507"/>
      <c r="S1" s="1507"/>
      <c r="T1" s="1507"/>
      <c r="U1" s="1507"/>
      <c r="V1" s="1507"/>
      <c r="W1" s="1507"/>
      <c r="X1" s="1507"/>
      <c r="Y1" s="497"/>
    </row>
    <row r="2" spans="1:25" ht="32.25" thickBot="1" x14ac:dyDescent="0.3">
      <c r="A2" s="497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7"/>
      <c r="X2" s="1078"/>
      <c r="Y2" s="497"/>
    </row>
    <row r="3" spans="1:25" ht="12" customHeight="1" x14ac:dyDescent="0.25">
      <c r="A3" s="497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497"/>
      <c r="S3" s="497"/>
      <c r="T3" s="497"/>
      <c r="U3" s="497"/>
      <c r="V3" s="497"/>
      <c r="W3" s="497"/>
      <c r="X3" s="497"/>
      <c r="Y3" s="497"/>
    </row>
    <row r="4" spans="1:25" ht="27.75" x14ac:dyDescent="0.25">
      <c r="A4" s="497"/>
      <c r="B4" s="506"/>
      <c r="C4" s="505"/>
      <c r="D4" s="505"/>
      <c r="E4" s="505"/>
      <c r="F4" s="1508" t="s">
        <v>977</v>
      </c>
      <c r="G4" s="1508"/>
      <c r="H4" s="1508"/>
      <c r="I4" s="1508"/>
      <c r="J4" s="1508"/>
      <c r="K4" s="1508"/>
      <c r="L4" s="1508"/>
      <c r="M4" s="1508"/>
      <c r="N4" s="1508"/>
      <c r="O4" s="1508"/>
      <c r="P4" s="1508"/>
      <c r="Q4" s="1508"/>
      <c r="R4" s="1508"/>
      <c r="S4" s="1508"/>
      <c r="T4" s="1508"/>
      <c r="U4" s="1508"/>
      <c r="V4" s="1508"/>
      <c r="W4" s="1508"/>
      <c r="X4" s="361"/>
      <c r="Y4" s="497"/>
    </row>
    <row r="5" spans="1:25" ht="11.25" customHeight="1" x14ac:dyDescent="0.25">
      <c r="A5" s="497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704"/>
      <c r="R5" s="497"/>
      <c r="S5" s="497"/>
      <c r="T5" s="497"/>
      <c r="U5" s="497"/>
      <c r="V5" s="497"/>
      <c r="W5" s="497"/>
      <c r="X5" s="497"/>
      <c r="Y5" s="497"/>
    </row>
    <row r="6" spans="1:25" ht="29.25" customHeight="1" x14ac:dyDescent="0.55000000000000004">
      <c r="A6" s="497"/>
      <c r="B6" s="1510" t="s">
        <v>914</v>
      </c>
      <c r="C6" s="1510"/>
      <c r="D6" s="1510"/>
      <c r="E6" s="1510"/>
      <c r="F6" s="1510"/>
      <c r="G6" s="1510"/>
      <c r="H6" s="1510"/>
      <c r="I6" s="1510"/>
      <c r="J6" s="1510"/>
      <c r="K6" s="1510"/>
      <c r="L6" s="1510"/>
      <c r="M6" s="1510"/>
      <c r="N6" s="1510"/>
      <c r="O6" s="1510"/>
      <c r="P6" s="1510"/>
      <c r="Q6" s="1510"/>
      <c r="R6" s="1510"/>
      <c r="S6" s="1510"/>
      <c r="T6" s="1510"/>
      <c r="U6" s="1510"/>
      <c r="V6" s="1510"/>
      <c r="W6" s="1510"/>
      <c r="X6" s="1510"/>
      <c r="Y6" s="669"/>
    </row>
    <row r="7" spans="1:25" ht="11.25" customHeight="1" x14ac:dyDescent="0.25">
      <c r="A7" s="497"/>
      <c r="B7" s="1512" t="s">
        <v>1261</v>
      </c>
      <c r="C7" s="1512"/>
      <c r="D7" s="1512"/>
      <c r="E7" s="497"/>
      <c r="F7" s="497"/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7"/>
      <c r="Y7" s="497"/>
    </row>
    <row r="8" spans="1:25" ht="18.75" x14ac:dyDescent="0.3">
      <c r="A8" s="497"/>
      <c r="B8" s="1512"/>
      <c r="C8" s="1512"/>
      <c r="D8" s="1512"/>
      <c r="E8" s="497"/>
      <c r="F8" s="497"/>
      <c r="G8" s="1513" t="s">
        <v>1258</v>
      </c>
      <c r="H8" s="1513"/>
      <c r="I8" s="497"/>
      <c r="J8" s="497"/>
      <c r="K8" s="1511" t="s">
        <v>915</v>
      </c>
      <c r="L8" s="1511"/>
      <c r="M8" s="1511"/>
      <c r="N8" s="1511"/>
      <c r="O8" s="1511"/>
      <c r="P8" s="497"/>
      <c r="Q8" s="1513" t="s">
        <v>920</v>
      </c>
      <c r="R8" s="497"/>
      <c r="S8" s="1514" t="s">
        <v>118</v>
      </c>
      <c r="T8" s="497"/>
      <c r="U8" s="1514" t="s">
        <v>104</v>
      </c>
      <c r="V8" s="497"/>
      <c r="W8" s="1514" t="s">
        <v>921</v>
      </c>
      <c r="X8" s="1514"/>
      <c r="Y8" s="497"/>
    </row>
    <row r="9" spans="1:25" ht="56.25" customHeight="1" x14ac:dyDescent="0.25">
      <c r="A9" s="497"/>
      <c r="B9" s="1512"/>
      <c r="C9" s="1512"/>
      <c r="D9" s="1512"/>
      <c r="E9" s="961" t="s">
        <v>916</v>
      </c>
      <c r="F9" s="497"/>
      <c r="G9" s="1513"/>
      <c r="H9" s="1513"/>
      <c r="I9" s="959" t="s">
        <v>1259</v>
      </c>
      <c r="J9" s="497"/>
      <c r="K9" s="671" t="s">
        <v>917</v>
      </c>
      <c r="L9" s="672"/>
      <c r="M9" s="671" t="s">
        <v>918</v>
      </c>
      <c r="N9" s="497"/>
      <c r="O9" s="671" t="s">
        <v>919</v>
      </c>
      <c r="P9" s="673"/>
      <c r="Q9" s="1513"/>
      <c r="R9" s="671"/>
      <c r="S9" s="1514"/>
      <c r="T9" s="671"/>
      <c r="U9" s="1514"/>
      <c r="V9" s="671"/>
      <c r="W9" s="1514"/>
      <c r="X9" s="1514"/>
      <c r="Y9" s="497"/>
    </row>
    <row r="10" spans="1:25" ht="25.9" customHeight="1" x14ac:dyDescent="0.3">
      <c r="A10" s="497"/>
      <c r="B10" s="1509" t="s">
        <v>922</v>
      </c>
      <c r="C10" s="1509"/>
      <c r="D10" s="674"/>
      <c r="E10" s="733"/>
      <c r="F10" s="674"/>
      <c r="G10" s="982"/>
      <c r="H10" s="952"/>
      <c r="I10" s="675" t="str">
        <f>IF(G10="",IF(E10="","",(K10*Q10*(S10/100))/(E10*1000)),"")</f>
        <v/>
      </c>
      <c r="J10" s="676"/>
      <c r="K10" s="735"/>
      <c r="L10" s="736"/>
      <c r="M10" s="735"/>
      <c r="N10" s="737"/>
      <c r="O10" s="735"/>
      <c r="P10" s="670"/>
      <c r="Q10" s="749">
        <v>260</v>
      </c>
      <c r="R10" s="347"/>
      <c r="S10" s="751">
        <v>85</v>
      </c>
      <c r="T10" s="347"/>
      <c r="U10" s="678" t="str">
        <f>IF(Q10&lt;150,"90 x 90",IF(Q10&gt;260,"150 x 150","120 x 120"))</f>
        <v>120 x 120</v>
      </c>
      <c r="V10" s="497"/>
      <c r="W10" s="679" t="str">
        <f>IF(G10="",IF(K10+M10+O10=0,"",(((K10+M10+O10)*Q10)*S10)/100000),(G10*E10)+(((M10+O10)*Q10)*S10)/100000)</f>
        <v/>
      </c>
      <c r="X10" s="668" t="str">
        <f>IF(W10="","","t de MS")</f>
        <v/>
      </c>
      <c r="Y10" s="497"/>
    </row>
    <row r="11" spans="1:25" ht="10.15" customHeight="1" x14ac:dyDescent="0.3">
      <c r="A11" s="497"/>
      <c r="B11" s="676"/>
      <c r="C11" s="676"/>
      <c r="D11" s="676"/>
      <c r="E11" s="734"/>
      <c r="F11" s="676"/>
      <c r="G11" s="676"/>
      <c r="H11" s="676"/>
      <c r="I11" s="680"/>
      <c r="J11" s="676"/>
      <c r="K11" s="736"/>
      <c r="L11" s="736"/>
      <c r="M11" s="736"/>
      <c r="N11" s="737"/>
      <c r="O11" s="737"/>
      <c r="P11" s="670"/>
      <c r="Q11" s="676"/>
      <c r="R11" s="347"/>
      <c r="S11" s="676"/>
      <c r="T11" s="676"/>
      <c r="U11" s="681"/>
      <c r="V11" s="497"/>
      <c r="W11" s="682"/>
      <c r="X11" s="681"/>
      <c r="Y11" s="497"/>
    </row>
    <row r="12" spans="1:25" ht="25.9" customHeight="1" x14ac:dyDescent="0.3">
      <c r="A12" s="497"/>
      <c r="B12" s="683" t="s">
        <v>923</v>
      </c>
      <c r="C12" s="735"/>
      <c r="D12" s="676"/>
      <c r="E12" s="733"/>
      <c r="F12" s="952"/>
      <c r="G12" s="982"/>
      <c r="H12" s="952"/>
      <c r="I12" s="675" t="str">
        <f>IF(G12="",IF(E12="","",(K12*Q12*(S12/100))/(E12*1000)),"")</f>
        <v/>
      </c>
      <c r="J12" s="676"/>
      <c r="K12" s="735"/>
      <c r="L12" s="736"/>
      <c r="M12" s="735"/>
      <c r="N12" s="737"/>
      <c r="O12" s="735"/>
      <c r="P12" s="670"/>
      <c r="Q12" s="749">
        <v>260</v>
      </c>
      <c r="R12" s="347"/>
      <c r="S12" s="751">
        <v>85</v>
      </c>
      <c r="T12" s="347"/>
      <c r="U12" s="678" t="str">
        <f>IF(Q12&lt;150,"90 x 90",IF(Q12&gt;260,"150 x 150","120 x 120"))</f>
        <v>120 x 120</v>
      </c>
      <c r="V12" s="497"/>
      <c r="W12" s="679" t="str">
        <f>IF(G12="",IF(K12+M12+O12=0,"",(((K12+M12+O12)*Q12)*S12)/100000),(G12*E12)+(((M12+O12)*Q12)*S12)/100000)</f>
        <v/>
      </c>
      <c r="X12" s="668" t="str">
        <f>IF(W12="","","t de MS")</f>
        <v/>
      </c>
      <c r="Y12" s="497"/>
    </row>
    <row r="13" spans="1:25" ht="10.15" customHeight="1" x14ac:dyDescent="0.3">
      <c r="A13" s="497"/>
      <c r="B13" s="676"/>
      <c r="C13" s="676"/>
      <c r="D13" s="676"/>
      <c r="E13" s="734"/>
      <c r="F13" s="676"/>
      <c r="G13" s="676"/>
      <c r="H13" s="676"/>
      <c r="I13" s="680"/>
      <c r="J13" s="676"/>
      <c r="K13" s="736"/>
      <c r="L13" s="736"/>
      <c r="M13" s="736"/>
      <c r="N13" s="737"/>
      <c r="O13" s="737"/>
      <c r="P13" s="670"/>
      <c r="Q13" s="676"/>
      <c r="R13" s="347"/>
      <c r="S13" s="676"/>
      <c r="T13" s="676"/>
      <c r="U13" s="681"/>
      <c r="V13" s="497"/>
      <c r="W13" s="682"/>
      <c r="X13" s="681"/>
      <c r="Y13" s="497"/>
    </row>
    <row r="14" spans="1:25" ht="25.9" customHeight="1" x14ac:dyDescent="0.3">
      <c r="A14" s="497"/>
      <c r="B14" s="1509" t="s">
        <v>924</v>
      </c>
      <c r="C14" s="1509"/>
      <c r="D14" s="674"/>
      <c r="E14" s="733"/>
      <c r="F14" s="952"/>
      <c r="G14" s="982"/>
      <c r="H14" s="952"/>
      <c r="I14" s="675" t="str">
        <f>IF(G14="",IF(E14="","",(K14*Q14*(S14/100))/(E14*1000)),"")</f>
        <v/>
      </c>
      <c r="J14" s="676"/>
      <c r="K14" s="735"/>
      <c r="L14" s="736"/>
      <c r="M14" s="735"/>
      <c r="N14" s="737"/>
      <c r="O14" s="735"/>
      <c r="P14" s="670"/>
      <c r="Q14" s="749">
        <v>400</v>
      </c>
      <c r="R14" s="347"/>
      <c r="S14" s="751">
        <v>85</v>
      </c>
      <c r="T14" s="676"/>
      <c r="U14" s="678" t="str">
        <f>IF(Q14&lt;400,"80 x 90",IF(Q14&gt;500,"120 x 90","120 x 130"))</f>
        <v>120 x 130</v>
      </c>
      <c r="V14" s="497"/>
      <c r="W14" s="679" t="str">
        <f>IF(G14="",IF(K14+M14+O14=0,"",(((K14+M14+O14)*Q14)*S14)/100000),(G14*E14)+(((M14+O14)*Q14)*S14)/100000)</f>
        <v/>
      </c>
      <c r="X14" s="668" t="str">
        <f>IF(W14="","","t de MS")</f>
        <v/>
      </c>
      <c r="Y14" s="497"/>
    </row>
    <row r="15" spans="1:25" ht="10.15" customHeight="1" x14ac:dyDescent="0.3">
      <c r="A15" s="497"/>
      <c r="B15" s="676"/>
      <c r="C15" s="676"/>
      <c r="D15" s="676"/>
      <c r="E15" s="734"/>
      <c r="F15" s="676"/>
      <c r="G15" s="676"/>
      <c r="H15" s="676"/>
      <c r="I15" s="680"/>
      <c r="J15" s="676"/>
      <c r="K15" s="736"/>
      <c r="L15" s="736"/>
      <c r="M15" s="736"/>
      <c r="N15" s="737"/>
      <c r="O15" s="737"/>
      <c r="P15" s="670"/>
      <c r="Q15" s="676"/>
      <c r="R15" s="347"/>
      <c r="S15" s="676"/>
      <c r="T15" s="676"/>
      <c r="U15" s="681"/>
      <c r="V15" s="497"/>
      <c r="W15" s="682"/>
      <c r="X15" s="681"/>
      <c r="Y15" s="497"/>
    </row>
    <row r="16" spans="1:25" ht="25.9" customHeight="1" x14ac:dyDescent="0.3">
      <c r="A16" s="497"/>
      <c r="B16" s="1509" t="s">
        <v>925</v>
      </c>
      <c r="C16" s="1509"/>
      <c r="D16" s="674"/>
      <c r="E16" s="733"/>
      <c r="F16" s="952"/>
      <c r="G16" s="982"/>
      <c r="H16" s="952"/>
      <c r="I16" s="675" t="str">
        <f>IF(G16="",IF(E16="","",(K16*Q16*(S16/100))/(E16*1000)),"")</f>
        <v/>
      </c>
      <c r="J16" s="676"/>
      <c r="K16" s="735"/>
      <c r="L16" s="736"/>
      <c r="M16" s="735"/>
      <c r="N16" s="737"/>
      <c r="O16" s="735"/>
      <c r="P16" s="670"/>
      <c r="Q16" s="749">
        <v>180</v>
      </c>
      <c r="R16" s="347"/>
      <c r="S16" s="751">
        <v>85</v>
      </c>
      <c r="T16" s="676"/>
      <c r="U16" s="678" t="str">
        <f>IF(Q16&lt;100,"90 x 90",IF(Q16&gt;160,"150 x 150","120 x 120"))</f>
        <v>150 x 150</v>
      </c>
      <c r="V16" s="497"/>
      <c r="W16" s="679" t="str">
        <f>IF(G16="",IF(K16+M16+O16=0,"",(((K16+M16+O16)*Q16)*S16)/100000),(G16*E16)+(((M16+O16)*Q16)*S16)/100000)</f>
        <v/>
      </c>
      <c r="X16" s="668" t="str">
        <f>IF(W16="","","t de MS")</f>
        <v/>
      </c>
      <c r="Y16" s="497"/>
    </row>
    <row r="17" spans="1:25" ht="10.15" customHeight="1" x14ac:dyDescent="0.3">
      <c r="A17" s="497"/>
      <c r="B17" s="676"/>
      <c r="C17" s="676"/>
      <c r="D17" s="676"/>
      <c r="E17" s="734"/>
      <c r="F17" s="676"/>
      <c r="G17" s="676"/>
      <c r="H17" s="676"/>
      <c r="I17" s="680"/>
      <c r="J17" s="676"/>
      <c r="K17" s="736"/>
      <c r="L17" s="736"/>
      <c r="M17" s="736"/>
      <c r="N17" s="737"/>
      <c r="O17" s="737"/>
      <c r="P17" s="670"/>
      <c r="Q17" s="676"/>
      <c r="R17" s="347"/>
      <c r="S17" s="676"/>
      <c r="T17" s="676"/>
      <c r="U17" s="676"/>
      <c r="V17" s="497"/>
      <c r="W17" s="682"/>
      <c r="X17" s="681"/>
      <c r="Y17" s="497"/>
    </row>
    <row r="18" spans="1:25" ht="25.9" customHeight="1" x14ac:dyDescent="0.3">
      <c r="A18" s="497"/>
      <c r="B18" s="1509" t="s">
        <v>926</v>
      </c>
      <c r="C18" s="1509"/>
      <c r="D18" s="674"/>
      <c r="E18" s="733"/>
      <c r="F18" s="952"/>
      <c r="G18" s="982"/>
      <c r="H18" s="952"/>
      <c r="I18" s="675" t="str">
        <f>IF(G18="",IF(E18="","",(K18*Q18*(S18/100))/(E18*1000)),"")</f>
        <v/>
      </c>
      <c r="J18" s="676"/>
      <c r="K18" s="735"/>
      <c r="L18" s="736"/>
      <c r="M18" s="735"/>
      <c r="N18" s="737"/>
      <c r="O18" s="735"/>
      <c r="P18" s="670"/>
      <c r="Q18" s="749">
        <v>400</v>
      </c>
      <c r="R18" s="347"/>
      <c r="S18" s="751">
        <v>50</v>
      </c>
      <c r="T18" s="676"/>
      <c r="U18" s="678" t="s">
        <v>927</v>
      </c>
      <c r="V18" s="497"/>
      <c r="W18" s="679" t="str">
        <f>IF(G18="",IF(K18+M18+O18=0,"",(((K18+M18+O18)*Q18)*S18)/100000),(G18*E18)+(((M18+O18)*Q18)*S18)/100000)</f>
        <v/>
      </c>
      <c r="X18" s="668" t="str">
        <f>IF(W18="","","t de MS")</f>
        <v/>
      </c>
      <c r="Y18" s="497"/>
    </row>
    <row r="19" spans="1:25" ht="10.15" customHeight="1" x14ac:dyDescent="0.3">
      <c r="A19" s="497"/>
      <c r="B19" s="676"/>
      <c r="C19" s="676"/>
      <c r="D19" s="676"/>
      <c r="E19" s="676"/>
      <c r="F19" s="676"/>
      <c r="G19" s="676"/>
      <c r="H19" s="676"/>
      <c r="I19" s="676"/>
      <c r="J19" s="676"/>
      <c r="K19" s="665"/>
      <c r="L19" s="665"/>
      <c r="M19" s="665"/>
      <c r="N19" s="676"/>
      <c r="O19" s="676"/>
      <c r="P19" s="676"/>
      <c r="Q19" s="676"/>
      <c r="R19" s="676"/>
      <c r="S19" s="676"/>
      <c r="T19" s="676"/>
      <c r="U19" s="676"/>
      <c r="V19" s="676"/>
      <c r="W19" s="682"/>
      <c r="X19" s="668"/>
      <c r="Y19" s="497"/>
    </row>
    <row r="20" spans="1:25" ht="31.5" customHeight="1" x14ac:dyDescent="0.3">
      <c r="A20" s="497"/>
      <c r="B20" s="676"/>
      <c r="C20" s="676"/>
      <c r="D20" s="676"/>
      <c r="E20" s="676"/>
      <c r="F20" s="676"/>
      <c r="G20" s="1513" t="s">
        <v>1258</v>
      </c>
      <c r="H20" s="1513"/>
      <c r="I20" s="676"/>
      <c r="J20" s="676"/>
      <c r="K20" s="1515" t="s">
        <v>928</v>
      </c>
      <c r="L20" s="1515"/>
      <c r="M20" s="1515"/>
      <c r="N20" s="1515"/>
      <c r="O20" s="1515"/>
      <c r="P20" s="676"/>
      <c r="Q20" s="676"/>
      <c r="R20" s="676"/>
      <c r="S20" s="676"/>
      <c r="T20" s="676"/>
      <c r="U20" s="676"/>
      <c r="V20" s="676"/>
      <c r="W20" s="682"/>
      <c r="X20" s="668"/>
      <c r="Y20" s="497"/>
    </row>
    <row r="21" spans="1:25" ht="45" customHeight="1" x14ac:dyDescent="0.3">
      <c r="A21" s="497"/>
      <c r="B21" s="676"/>
      <c r="C21" s="676"/>
      <c r="D21" s="676"/>
      <c r="E21" s="670" t="s">
        <v>916</v>
      </c>
      <c r="F21" s="497"/>
      <c r="G21" s="1513"/>
      <c r="H21" s="1513"/>
      <c r="I21" s="959" t="s">
        <v>1260</v>
      </c>
      <c r="J21" s="676"/>
      <c r="K21" s="671" t="s">
        <v>929</v>
      </c>
      <c r="L21" s="672"/>
      <c r="M21" s="671" t="s">
        <v>930</v>
      </c>
      <c r="N21" s="497"/>
      <c r="O21" s="671" t="s">
        <v>919</v>
      </c>
      <c r="P21" s="670"/>
      <c r="Q21" s="673" t="s">
        <v>931</v>
      </c>
      <c r="R21" s="347"/>
      <c r="S21" s="678" t="s">
        <v>118</v>
      </c>
      <c r="T21" s="1516" t="s">
        <v>932</v>
      </c>
      <c r="U21" s="1516"/>
      <c r="V21" s="1516"/>
      <c r="W21" s="682"/>
      <c r="X21" s="681"/>
      <c r="Y21" s="497"/>
    </row>
    <row r="22" spans="1:25" ht="25.9" customHeight="1" x14ac:dyDescent="0.3">
      <c r="A22" s="497"/>
      <c r="B22" s="1509" t="s">
        <v>933</v>
      </c>
      <c r="C22" s="1509"/>
      <c r="D22" s="674"/>
      <c r="E22" s="733"/>
      <c r="F22" s="952"/>
      <c r="G22" s="982"/>
      <c r="H22" s="952"/>
      <c r="I22" s="675" t="str">
        <f>IF(G22="",IF(E22="","",(K22*Q22*(S22/100))/(E22*1000)),"")</f>
        <v/>
      </c>
      <c r="J22" s="676"/>
      <c r="K22" s="735"/>
      <c r="L22" s="736"/>
      <c r="M22" s="735"/>
      <c r="N22" s="737"/>
      <c r="O22" s="735"/>
      <c r="P22" s="670"/>
      <c r="Q22" s="749">
        <v>200</v>
      </c>
      <c r="R22" s="347"/>
      <c r="S22" s="751">
        <v>30</v>
      </c>
      <c r="T22" s="497"/>
      <c r="U22" s="684">
        <f>(5*S22)+(16*(Q22/100))+34</f>
        <v>216</v>
      </c>
      <c r="V22" s="497"/>
      <c r="W22" s="679" t="str">
        <f>IF(G22="",IF(K22+M22+O22=0,"",(((K22+M22+O22)*Q22)*S22)/100000),(G22*E22)+(((M22+O22)*Q22)*S22)/100000)</f>
        <v/>
      </c>
      <c r="X22" s="668" t="str">
        <f>IF(W22="","","t de MS")</f>
        <v/>
      </c>
      <c r="Y22" s="497"/>
    </row>
    <row r="23" spans="1:25" ht="10.15" customHeight="1" x14ac:dyDescent="0.3">
      <c r="A23" s="497"/>
      <c r="B23" s="676"/>
      <c r="C23" s="676"/>
      <c r="D23" s="676"/>
      <c r="E23" s="737"/>
      <c r="F23" s="676"/>
      <c r="G23" s="676"/>
      <c r="H23" s="676"/>
      <c r="I23" s="680"/>
      <c r="J23" s="676"/>
      <c r="K23" s="736"/>
      <c r="L23" s="736"/>
      <c r="M23" s="736"/>
      <c r="N23" s="737"/>
      <c r="O23" s="736"/>
      <c r="P23" s="670"/>
      <c r="Q23" s="347"/>
      <c r="R23" s="347"/>
      <c r="S23" s="677"/>
      <c r="T23" s="497"/>
      <c r="U23" s="685"/>
      <c r="V23" s="497"/>
      <c r="W23" s="686"/>
      <c r="X23" s="687"/>
      <c r="Y23" s="497"/>
    </row>
    <row r="24" spans="1:25" ht="25.9" customHeight="1" x14ac:dyDescent="0.3">
      <c r="A24" s="497"/>
      <c r="B24" s="1509" t="s">
        <v>934</v>
      </c>
      <c r="C24" s="1509"/>
      <c r="D24" s="674"/>
      <c r="E24" s="733"/>
      <c r="F24" s="952"/>
      <c r="G24" s="982"/>
      <c r="H24" s="952"/>
      <c r="I24" s="675" t="str">
        <f>IF(G24="",IF(E24="","",(K24*Q24*(S24/100))/(E24*1000)),"")</f>
        <v/>
      </c>
      <c r="J24" s="676"/>
      <c r="K24" s="735"/>
      <c r="L24" s="736"/>
      <c r="M24" s="735"/>
      <c r="N24" s="737"/>
      <c r="O24" s="735"/>
      <c r="P24" s="670"/>
      <c r="Q24" s="749">
        <v>200</v>
      </c>
      <c r="R24" s="347"/>
      <c r="S24" s="751">
        <v>30</v>
      </c>
      <c r="T24" s="497"/>
      <c r="U24" s="684">
        <f>(5*S24)+(16*(Q24/100))+34</f>
        <v>216</v>
      </c>
      <c r="V24" s="497"/>
      <c r="W24" s="679" t="str">
        <f>IF(G24="",IF(K24+M24+O24=0,"",(((K24+M24+O24)*Q24)*S24)/100000),(G24*E24)+(((M24+O24)*Q24)*S24)/100000)</f>
        <v/>
      </c>
      <c r="X24" s="668" t="str">
        <f>IF(W24="","","t de MS")</f>
        <v/>
      </c>
      <c r="Y24" s="497"/>
    </row>
    <row r="25" spans="1:25" ht="10.15" customHeight="1" x14ac:dyDescent="0.3">
      <c r="A25" s="497"/>
      <c r="B25" s="676"/>
      <c r="C25" s="676"/>
      <c r="D25" s="676"/>
      <c r="E25" s="736"/>
      <c r="F25" s="676"/>
      <c r="G25" s="676"/>
      <c r="H25" s="676"/>
      <c r="I25" s="680"/>
      <c r="J25" s="676"/>
      <c r="K25" s="736"/>
      <c r="L25" s="736"/>
      <c r="M25" s="736"/>
      <c r="N25" s="737"/>
      <c r="O25" s="736"/>
      <c r="P25" s="670"/>
      <c r="Q25" s="347"/>
      <c r="R25" s="347"/>
      <c r="S25" s="677"/>
      <c r="T25" s="497"/>
      <c r="U25" s="685"/>
      <c r="V25" s="497"/>
      <c r="W25" s="686"/>
      <c r="X25" s="687"/>
      <c r="Y25" s="497"/>
    </row>
    <row r="26" spans="1:25" ht="25.9" customHeight="1" x14ac:dyDescent="0.3">
      <c r="A26" s="497"/>
      <c r="B26" s="1509" t="s">
        <v>935</v>
      </c>
      <c r="C26" s="1509"/>
      <c r="D26" s="674"/>
      <c r="E26" s="733"/>
      <c r="F26" s="952"/>
      <c r="G26" s="982"/>
      <c r="H26" s="952"/>
      <c r="I26" s="675" t="str">
        <f>IF(G26="",IF(E26="","",(K26*Q26*(S26/100))/(E26*1000)),"")</f>
        <v/>
      </c>
      <c r="J26" s="676"/>
      <c r="K26" s="735"/>
      <c r="L26" s="736"/>
      <c r="M26" s="735"/>
      <c r="N26" s="737"/>
      <c r="O26" s="735"/>
      <c r="P26" s="670"/>
      <c r="Q26" s="749">
        <v>200</v>
      </c>
      <c r="R26" s="347"/>
      <c r="S26" s="751">
        <v>30</v>
      </c>
      <c r="T26" s="497"/>
      <c r="U26" s="684">
        <f>(5*S26)+(16*(Q26/100))+34</f>
        <v>216</v>
      </c>
      <c r="V26" s="497"/>
      <c r="W26" s="679" t="str">
        <f>IF(G26="",IF(K26+M26+O26=0,"",(((K26+M26+O26)*Q26)*S26)/100000),(G26*E26)+(((M26+O26)*Q26)*S26)/100000)</f>
        <v/>
      </c>
      <c r="X26" s="668" t="str">
        <f>IF(W26="","","t de MS")</f>
        <v/>
      </c>
      <c r="Y26" s="497"/>
    </row>
    <row r="27" spans="1:25" ht="10.15" customHeight="1" x14ac:dyDescent="0.3">
      <c r="A27" s="497"/>
      <c r="B27" s="676"/>
      <c r="C27" s="676"/>
      <c r="D27" s="674"/>
      <c r="E27" s="736"/>
      <c r="F27" s="676"/>
      <c r="G27" s="676"/>
      <c r="H27" s="676"/>
      <c r="I27" s="680"/>
      <c r="J27" s="676"/>
      <c r="K27" s="736"/>
      <c r="L27" s="736"/>
      <c r="M27" s="736"/>
      <c r="N27" s="737"/>
      <c r="O27" s="736"/>
      <c r="P27" s="670"/>
      <c r="Q27" s="347"/>
      <c r="R27" s="347"/>
      <c r="S27" s="677"/>
      <c r="T27" s="497"/>
      <c r="U27" s="685"/>
      <c r="V27" s="497"/>
      <c r="W27" s="686"/>
      <c r="X27" s="687"/>
      <c r="Y27" s="497"/>
    </row>
    <row r="28" spans="1:25" ht="25.9" customHeight="1" x14ac:dyDescent="0.3">
      <c r="A28" s="497"/>
      <c r="B28" s="676" t="s">
        <v>923</v>
      </c>
      <c r="C28" s="735"/>
      <c r="D28" s="674"/>
      <c r="E28" s="733"/>
      <c r="F28" s="952"/>
      <c r="G28" s="982"/>
      <c r="H28" s="952"/>
      <c r="I28" s="675" t="str">
        <f>IF(G28="",IF(E28="","",(K28*Q28*(S28/100))/(E28*1000)),"")</f>
        <v/>
      </c>
      <c r="J28" s="676"/>
      <c r="K28" s="735"/>
      <c r="L28" s="736"/>
      <c r="M28" s="735"/>
      <c r="N28" s="737"/>
      <c r="O28" s="735"/>
      <c r="P28" s="670"/>
      <c r="Q28" s="749">
        <v>200</v>
      </c>
      <c r="R28" s="347"/>
      <c r="S28" s="751">
        <v>30</v>
      </c>
      <c r="T28" s="497"/>
      <c r="U28" s="684">
        <f>(5*S28)+(16*(Q28/100))+34</f>
        <v>216</v>
      </c>
      <c r="V28" s="497"/>
      <c r="W28" s="679" t="str">
        <f>IF(G28="",IF(K28+M28+O28=0,"",(((K28+M28+O28)*Q28)*S28)/100000),(G28*E28)+(((M28+O28)*Q28)*S28)/100000)</f>
        <v/>
      </c>
      <c r="X28" s="668" t="str">
        <f>IF(W28="","","t de MS")</f>
        <v/>
      </c>
      <c r="Y28" s="497"/>
    </row>
    <row r="29" spans="1:25" ht="10.15" customHeight="1" x14ac:dyDescent="0.3">
      <c r="A29" s="497"/>
      <c r="B29" s="497"/>
      <c r="C29" s="739"/>
      <c r="D29" s="674"/>
      <c r="E29" s="739"/>
      <c r="F29" s="676"/>
      <c r="G29" s="676"/>
      <c r="H29" s="676"/>
      <c r="I29" s="680"/>
      <c r="J29" s="497"/>
      <c r="K29" s="739"/>
      <c r="L29" s="739"/>
      <c r="M29" s="739"/>
      <c r="N29" s="738"/>
      <c r="O29" s="739"/>
      <c r="P29" s="670"/>
      <c r="Q29" s="497"/>
      <c r="R29" s="347"/>
      <c r="S29" s="688"/>
      <c r="T29" s="497"/>
      <c r="U29" s="685"/>
      <c r="V29" s="497"/>
      <c r="W29" s="686"/>
      <c r="X29" s="687"/>
      <c r="Y29" s="497"/>
    </row>
    <row r="30" spans="1:25" ht="25.9" customHeight="1" x14ac:dyDescent="0.3">
      <c r="A30" s="497"/>
      <c r="B30" s="676" t="s">
        <v>923</v>
      </c>
      <c r="C30" s="735"/>
      <c r="D30" s="674"/>
      <c r="E30" s="733"/>
      <c r="F30" s="952"/>
      <c r="G30" s="982"/>
      <c r="H30" s="952"/>
      <c r="I30" s="675" t="str">
        <f>IF(G30="",IF(E30="","",(K30*Q30*(S30/100))/(E30*1000)),"")</f>
        <v/>
      </c>
      <c r="J30" s="676"/>
      <c r="K30" s="735"/>
      <c r="L30" s="736"/>
      <c r="M30" s="735"/>
      <c r="N30" s="737"/>
      <c r="O30" s="735"/>
      <c r="P30" s="670"/>
      <c r="Q30" s="749">
        <v>130</v>
      </c>
      <c r="R30" s="347"/>
      <c r="S30" s="751">
        <v>30</v>
      </c>
      <c r="T30" s="497"/>
      <c r="U30" s="684">
        <f>(5*S30)+(16*(Q30/100))+34</f>
        <v>204.8</v>
      </c>
      <c r="V30" s="497"/>
      <c r="W30" s="679" t="str">
        <f>IF(G30="",IF(K30+M30+O30=0,"",(((K30+M30+O30)*Q30)*S30)/100000),(G30*E30)+(((M30+O30)*Q30)*S30)/100000)</f>
        <v/>
      </c>
      <c r="X30" s="668" t="str">
        <f>IF(W30="","","t de MS")</f>
        <v/>
      </c>
      <c r="Y30" s="497"/>
    </row>
    <row r="31" spans="1:25" ht="10.15" customHeight="1" x14ac:dyDescent="0.3">
      <c r="A31" s="497"/>
      <c r="B31" s="497"/>
      <c r="C31" s="739"/>
      <c r="D31" s="674"/>
      <c r="E31" s="739"/>
      <c r="F31" s="676"/>
      <c r="G31" s="676"/>
      <c r="H31" s="676"/>
      <c r="I31" s="680"/>
      <c r="J31" s="497"/>
      <c r="K31" s="739"/>
      <c r="L31" s="739"/>
      <c r="M31" s="739"/>
      <c r="N31" s="738"/>
      <c r="O31" s="739"/>
      <c r="P31" s="670"/>
      <c r="Q31" s="497"/>
      <c r="R31" s="347"/>
      <c r="S31" s="688"/>
      <c r="T31" s="497"/>
      <c r="U31" s="685"/>
      <c r="V31" s="497"/>
      <c r="W31" s="686"/>
      <c r="X31" s="687"/>
      <c r="Y31" s="497"/>
    </row>
    <row r="32" spans="1:25" ht="25.9" customHeight="1" x14ac:dyDescent="0.3">
      <c r="A32" s="497"/>
      <c r="B32" s="676" t="s">
        <v>923</v>
      </c>
      <c r="C32" s="735"/>
      <c r="D32" s="674"/>
      <c r="E32" s="733"/>
      <c r="F32" s="952"/>
      <c r="G32" s="982"/>
      <c r="H32" s="952"/>
      <c r="I32" s="675" t="str">
        <f>IF(G32="",IF(E32="","",(K32*Q32*(S32/100))/(E32*1000)),"")</f>
        <v/>
      </c>
      <c r="J32" s="676"/>
      <c r="K32" s="735"/>
      <c r="L32" s="736"/>
      <c r="M32" s="735"/>
      <c r="N32" s="737"/>
      <c r="O32" s="735"/>
      <c r="P32" s="670"/>
      <c r="Q32" s="749">
        <v>190</v>
      </c>
      <c r="R32" s="347"/>
      <c r="S32" s="751">
        <v>30</v>
      </c>
      <c r="T32" s="497"/>
      <c r="U32" s="684">
        <f>(5*S32)+(16*(Q32/100))+34</f>
        <v>214.4</v>
      </c>
      <c r="V32" s="497"/>
      <c r="W32" s="679" t="str">
        <f>IF(G32="",IF(K32+M32+O32=0,"",(((K32+M32+O32)*Q32)*S32)/100000),(G32*E32)+(((M32+O32)*Q32)*S32)/100000)</f>
        <v/>
      </c>
      <c r="X32" s="668" t="str">
        <f>IF(W32="","","t de MS")</f>
        <v/>
      </c>
      <c r="Y32" s="497"/>
    </row>
    <row r="33" spans="1:25" ht="10.15" customHeight="1" x14ac:dyDescent="0.3">
      <c r="A33" s="497"/>
      <c r="B33" s="497"/>
      <c r="C33" s="497"/>
      <c r="D33" s="497"/>
      <c r="E33" s="739"/>
      <c r="F33" s="497"/>
      <c r="G33" s="497"/>
      <c r="H33" s="497"/>
      <c r="I33" s="680"/>
      <c r="J33" s="497"/>
      <c r="K33" s="739"/>
      <c r="L33" s="739"/>
      <c r="M33" s="739"/>
      <c r="N33" s="738"/>
      <c r="O33" s="739"/>
      <c r="P33" s="670"/>
      <c r="Q33" s="497"/>
      <c r="R33" s="347"/>
      <c r="S33" s="688"/>
      <c r="T33" s="497"/>
      <c r="U33" s="689"/>
      <c r="V33" s="497"/>
      <c r="W33" s="686"/>
      <c r="X33" s="687"/>
      <c r="Y33" s="497"/>
    </row>
    <row r="34" spans="1:25" ht="25.9" customHeight="1" x14ac:dyDescent="0.3">
      <c r="A34" s="497"/>
      <c r="B34" s="1509" t="s">
        <v>936</v>
      </c>
      <c r="C34" s="1509"/>
      <c r="D34" s="674"/>
      <c r="E34" s="733"/>
      <c r="F34" s="952"/>
      <c r="G34" s="982"/>
      <c r="H34" s="952"/>
      <c r="I34" s="675" t="str">
        <f>IF(G34="",IF(E34="","",(K34*U34*(S34/100))/(E34*1000)),"")</f>
        <v/>
      </c>
      <c r="J34" s="676"/>
      <c r="K34" s="735"/>
      <c r="L34" s="736"/>
      <c r="M34" s="735"/>
      <c r="N34" s="737"/>
      <c r="O34" s="735"/>
      <c r="P34" s="670"/>
      <c r="Q34" s="497"/>
      <c r="R34" s="347"/>
      <c r="S34" s="751">
        <v>85</v>
      </c>
      <c r="T34" s="497"/>
      <c r="U34" s="690">
        <v>90</v>
      </c>
      <c r="V34" s="497"/>
      <c r="W34" s="679" t="str">
        <f>IF(G34="",IF(K34+M34+O34=0,"",(((K34+M34+U34)*Q34)*S34)/100000),(G34*E34)+(((M34+O34)*U34)*S34)/100000)</f>
        <v/>
      </c>
      <c r="X34" s="668" t="str">
        <f>IF(W34="","","t de MS")</f>
        <v/>
      </c>
      <c r="Y34" s="497"/>
    </row>
    <row r="35" spans="1:25" ht="18.75" x14ac:dyDescent="0.25">
      <c r="A35" s="497"/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Q35" s="497"/>
      <c r="R35" s="497"/>
      <c r="S35" s="497"/>
      <c r="T35" s="497"/>
      <c r="U35" s="497"/>
      <c r="V35" s="497"/>
      <c r="W35" s="687"/>
      <c r="X35" s="687"/>
      <c r="Y35" s="497"/>
    </row>
    <row r="36" spans="1:25" x14ac:dyDescent="0.25">
      <c r="A36" s="958"/>
      <c r="B36" s="958"/>
      <c r="C36" s="958"/>
      <c r="D36" s="958"/>
      <c r="E36" s="958"/>
      <c r="F36" s="958"/>
      <c r="G36" s="958"/>
      <c r="H36" s="958"/>
      <c r="I36" s="958"/>
      <c r="J36" s="958"/>
      <c r="K36" s="958"/>
      <c r="L36" s="958"/>
      <c r="M36" s="958"/>
      <c r="N36" s="958"/>
      <c r="O36" s="958"/>
      <c r="P36" s="958"/>
      <c r="Q36" s="958"/>
      <c r="R36" s="958"/>
      <c r="S36" s="958"/>
      <c r="T36" s="958"/>
      <c r="U36" s="958"/>
      <c r="V36" s="958"/>
      <c r="W36" s="958"/>
      <c r="X36" s="958"/>
      <c r="Y36" s="958"/>
    </row>
    <row r="37" spans="1:25" x14ac:dyDescent="0.25">
      <c r="A37" s="958"/>
      <c r="B37" s="958"/>
      <c r="C37" s="958"/>
      <c r="D37" s="958"/>
      <c r="E37" s="958"/>
      <c r="F37" s="958"/>
      <c r="G37" s="958"/>
      <c r="H37" s="958"/>
      <c r="I37" s="958"/>
      <c r="J37" s="958"/>
      <c r="K37" s="958"/>
      <c r="L37" s="958"/>
      <c r="M37" s="958"/>
      <c r="N37" s="958"/>
      <c r="O37" s="958"/>
      <c r="P37" s="958"/>
      <c r="Q37" s="958"/>
      <c r="R37" s="958"/>
      <c r="S37" s="958"/>
      <c r="T37" s="958"/>
      <c r="U37" s="958"/>
      <c r="V37" s="958"/>
      <c r="W37" s="958"/>
      <c r="X37" s="958"/>
      <c r="Y37" s="958"/>
    </row>
    <row r="40" spans="1:25" hidden="1" outlineLevel="1" x14ac:dyDescent="0.25"/>
    <row r="41" spans="1:25" hidden="1" outlineLevel="1" x14ac:dyDescent="0.25">
      <c r="B41" s="664" t="s">
        <v>937</v>
      </c>
      <c r="O41" s="664">
        <v>1</v>
      </c>
      <c r="Q41" s="664">
        <v>120</v>
      </c>
      <c r="S41" s="664">
        <v>80</v>
      </c>
      <c r="U41" s="664">
        <v>80</v>
      </c>
    </row>
    <row r="42" spans="1:25" hidden="1" outlineLevel="1" x14ac:dyDescent="0.25">
      <c r="B42" s="664" t="s">
        <v>927</v>
      </c>
      <c r="O42" s="664">
        <v>1.2</v>
      </c>
      <c r="Q42" s="664">
        <v>200</v>
      </c>
      <c r="S42" s="664">
        <v>120</v>
      </c>
      <c r="U42" s="664">
        <v>85</v>
      </c>
    </row>
    <row r="43" spans="1:25" hidden="1" outlineLevel="1" x14ac:dyDescent="0.25">
      <c r="B43" s="664" t="s">
        <v>938</v>
      </c>
      <c r="O43" s="664">
        <v>1.5</v>
      </c>
      <c r="Q43" s="664">
        <v>280</v>
      </c>
      <c r="S43" s="664">
        <v>180</v>
      </c>
      <c r="U43" s="664">
        <v>90</v>
      </c>
    </row>
    <row r="44" spans="1:25" hidden="1" outlineLevel="1" x14ac:dyDescent="0.25">
      <c r="B44" s="664" t="s">
        <v>939</v>
      </c>
      <c r="O44" s="664">
        <v>1.7</v>
      </c>
      <c r="Q44" s="664">
        <v>400</v>
      </c>
      <c r="S44" s="664">
        <v>300</v>
      </c>
      <c r="U44" s="664">
        <v>95</v>
      </c>
    </row>
    <row r="45" spans="1:25" hidden="1" outlineLevel="1" x14ac:dyDescent="0.25">
      <c r="O45" s="664">
        <v>2</v>
      </c>
    </row>
    <row r="46" spans="1:25" hidden="1" outlineLevel="1" x14ac:dyDescent="0.25">
      <c r="O46" s="664">
        <v>2.2000000000000002</v>
      </c>
      <c r="Q46" s="664">
        <v>300</v>
      </c>
      <c r="S46" s="664">
        <v>20</v>
      </c>
      <c r="U46" s="664">
        <v>40</v>
      </c>
    </row>
    <row r="47" spans="1:25" hidden="1" outlineLevel="1" x14ac:dyDescent="0.25">
      <c r="O47" s="664">
        <v>2.5</v>
      </c>
      <c r="Q47" s="664">
        <v>350</v>
      </c>
      <c r="S47" s="664">
        <v>25</v>
      </c>
      <c r="U47" s="664">
        <v>45</v>
      </c>
    </row>
    <row r="48" spans="1:25" hidden="1" outlineLevel="1" x14ac:dyDescent="0.25">
      <c r="Q48" s="664">
        <v>400</v>
      </c>
      <c r="S48" s="664">
        <v>30</v>
      </c>
      <c r="U48" s="664">
        <v>50</v>
      </c>
    </row>
    <row r="49" spans="17:21" hidden="1" outlineLevel="1" x14ac:dyDescent="0.25">
      <c r="Q49" s="664">
        <v>450</v>
      </c>
      <c r="S49" s="664">
        <v>35</v>
      </c>
      <c r="U49" s="664">
        <v>55</v>
      </c>
    </row>
    <row r="50" spans="17:21" hidden="1" outlineLevel="1" x14ac:dyDescent="0.25">
      <c r="Q50" s="664">
        <v>500</v>
      </c>
      <c r="S50" s="664">
        <v>40</v>
      </c>
      <c r="U50" s="664">
        <v>60</v>
      </c>
    </row>
    <row r="51" spans="17:21" hidden="1" outlineLevel="1" x14ac:dyDescent="0.25">
      <c r="Q51" s="664">
        <v>550</v>
      </c>
      <c r="S51" s="664">
        <v>45</v>
      </c>
    </row>
    <row r="52" spans="17:21" hidden="1" outlineLevel="1" x14ac:dyDescent="0.25">
      <c r="Q52" s="664">
        <v>600</v>
      </c>
    </row>
    <row r="53" spans="17:21" hidden="1" outlineLevel="1" x14ac:dyDescent="0.25"/>
    <row r="54" spans="17:21" hidden="1" outlineLevel="1" x14ac:dyDescent="0.25"/>
    <row r="55" spans="17:21" hidden="1" outlineLevel="1" x14ac:dyDescent="0.25"/>
    <row r="56" spans="17:21" hidden="1" outlineLevel="1" x14ac:dyDescent="0.25"/>
    <row r="57" spans="17:21" hidden="1" outlineLevel="1" x14ac:dyDescent="0.25"/>
    <row r="58" spans="17:21" hidden="1" outlineLevel="1" x14ac:dyDescent="0.25"/>
    <row r="59" spans="17:21" collapsed="1" x14ac:dyDescent="0.25"/>
  </sheetData>
  <mergeCells count="22">
    <mergeCell ref="B26:C26"/>
    <mergeCell ref="B34:C34"/>
    <mergeCell ref="B18:C18"/>
    <mergeCell ref="K20:O20"/>
    <mergeCell ref="T21:V21"/>
    <mergeCell ref="B22:C22"/>
    <mergeCell ref="B24:C24"/>
    <mergeCell ref="G20:H21"/>
    <mergeCell ref="B1:X1"/>
    <mergeCell ref="B2:X2"/>
    <mergeCell ref="F4:W4"/>
    <mergeCell ref="B16:C16"/>
    <mergeCell ref="B6:X6"/>
    <mergeCell ref="K8:O8"/>
    <mergeCell ref="B10:C10"/>
    <mergeCell ref="B14:C14"/>
    <mergeCell ref="B7:D9"/>
    <mergeCell ref="G8:H9"/>
    <mergeCell ref="Q8:Q9"/>
    <mergeCell ref="S8:S9"/>
    <mergeCell ref="U8:U9"/>
    <mergeCell ref="W8:X9"/>
  </mergeCells>
  <pageMargins left="0.7" right="0.7" top="0.75" bottom="0.75" header="0.3" footer="0.3"/>
  <pageSetup paperSize="9" scale="6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Spinner 1">
              <controlPr defaultSize="0" autoPict="0">
                <anchor moveWithCells="1" sizeWithCells="1">
                  <from>
                    <xdr:col>16</xdr:col>
                    <xdr:colOff>0</xdr:colOff>
                    <xdr:row>9</xdr:row>
                    <xdr:rowOff>0</xdr:rowOff>
                  </from>
                  <to>
                    <xdr:col>16</xdr:col>
                    <xdr:colOff>161925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Spinner 2">
              <controlPr defaultSize="0" autoPict="0">
                <anchor moveWithCells="1" sizeWithCells="1">
                  <from>
                    <xdr:col>16</xdr:col>
                    <xdr:colOff>0</xdr:colOff>
                    <xdr:row>11</xdr:row>
                    <xdr:rowOff>0</xdr:rowOff>
                  </from>
                  <to>
                    <xdr:col>16</xdr:col>
                    <xdr:colOff>161925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Spinner 3">
              <controlPr defaultSize="0" autoPict="0">
                <anchor moveWithCells="1" sizeWithCells="1">
                  <from>
                    <xdr:col>16</xdr:col>
                    <xdr:colOff>0</xdr:colOff>
                    <xdr:row>13</xdr:row>
                    <xdr:rowOff>0</xdr:rowOff>
                  </from>
                  <to>
                    <xdr:col>16</xdr:col>
                    <xdr:colOff>161925</xdr:colOff>
                    <xdr:row>13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Spinner 4">
              <controlPr defaultSize="0" autoPict="0">
                <anchor moveWithCells="1" sizeWithCells="1">
                  <from>
                    <xdr:col>16</xdr:col>
                    <xdr:colOff>0</xdr:colOff>
                    <xdr:row>15</xdr:row>
                    <xdr:rowOff>0</xdr:rowOff>
                  </from>
                  <to>
                    <xdr:col>16</xdr:col>
                    <xdr:colOff>161925</xdr:colOff>
                    <xdr:row>15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8" name="Spinner 5">
              <controlPr defaultSize="0" autoPict="0">
                <anchor moveWithCells="1" sizeWithCells="1">
                  <from>
                    <xdr:col>16</xdr:col>
                    <xdr:colOff>0</xdr:colOff>
                    <xdr:row>17</xdr:row>
                    <xdr:rowOff>0</xdr:rowOff>
                  </from>
                  <to>
                    <xdr:col>16</xdr:col>
                    <xdr:colOff>161925</xdr:colOff>
                    <xdr:row>17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8" r:id="rId9" name="Spinner 6">
              <controlPr defaultSize="0" autoPict="0">
                <anchor moveWithCells="1" sizeWithCells="1">
                  <from>
                    <xdr:col>18</xdr:col>
                    <xdr:colOff>9525</xdr:colOff>
                    <xdr:row>9</xdr:row>
                    <xdr:rowOff>0</xdr:rowOff>
                  </from>
                  <to>
                    <xdr:col>18</xdr:col>
                    <xdr:colOff>171450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10" name="Spinner 7">
              <controlPr defaultSize="0" autoPict="0">
                <anchor moveWithCells="1" sizeWithCells="1">
                  <from>
                    <xdr:col>18</xdr:col>
                    <xdr:colOff>9525</xdr:colOff>
                    <xdr:row>11</xdr:row>
                    <xdr:rowOff>0</xdr:rowOff>
                  </from>
                  <to>
                    <xdr:col>18</xdr:col>
                    <xdr:colOff>171450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0" r:id="rId11" name="Spinner 8">
              <controlPr defaultSize="0" autoPict="0">
                <anchor moveWithCells="1" sizeWithCells="1">
                  <from>
                    <xdr:col>18</xdr:col>
                    <xdr:colOff>9525</xdr:colOff>
                    <xdr:row>13</xdr:row>
                    <xdr:rowOff>0</xdr:rowOff>
                  </from>
                  <to>
                    <xdr:col>18</xdr:col>
                    <xdr:colOff>171450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1" r:id="rId12" name="Spinner 9">
              <controlPr defaultSize="0" autoPict="0">
                <anchor moveWithCells="1" sizeWithCells="1">
                  <from>
                    <xdr:col>18</xdr:col>
                    <xdr:colOff>9525</xdr:colOff>
                    <xdr:row>15</xdr:row>
                    <xdr:rowOff>0</xdr:rowOff>
                  </from>
                  <to>
                    <xdr:col>18</xdr:col>
                    <xdr:colOff>171450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13" name="Spinner 10">
              <controlPr defaultSize="0" autoPict="0">
                <anchor moveWithCells="1" sizeWithCells="1">
                  <from>
                    <xdr:col>18</xdr:col>
                    <xdr:colOff>9525</xdr:colOff>
                    <xdr:row>17</xdr:row>
                    <xdr:rowOff>0</xdr:rowOff>
                  </from>
                  <to>
                    <xdr:col>18</xdr:col>
                    <xdr:colOff>171450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14" name="Spinner 11">
              <controlPr defaultSize="0" autoPict="0">
                <anchor moveWithCells="1" sizeWithCells="1">
                  <from>
                    <xdr:col>16</xdr:col>
                    <xdr:colOff>0</xdr:colOff>
                    <xdr:row>21</xdr:row>
                    <xdr:rowOff>0</xdr:rowOff>
                  </from>
                  <to>
                    <xdr:col>16</xdr:col>
                    <xdr:colOff>161925</xdr:colOff>
                    <xdr:row>21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4" r:id="rId15" name="Spinner 12">
              <controlPr defaultSize="0" autoPict="0">
                <anchor moveWithCells="1" sizeWithCells="1">
                  <from>
                    <xdr:col>16</xdr:col>
                    <xdr:colOff>0</xdr:colOff>
                    <xdr:row>23</xdr:row>
                    <xdr:rowOff>0</xdr:rowOff>
                  </from>
                  <to>
                    <xdr:col>16</xdr:col>
                    <xdr:colOff>161925</xdr:colOff>
                    <xdr:row>23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5" r:id="rId16" name="Spinner 13">
              <controlPr defaultSize="0" autoPict="0">
                <anchor moveWithCells="1" sizeWithCells="1">
                  <from>
                    <xdr:col>16</xdr:col>
                    <xdr:colOff>0</xdr:colOff>
                    <xdr:row>25</xdr:row>
                    <xdr:rowOff>0</xdr:rowOff>
                  </from>
                  <to>
                    <xdr:col>16</xdr:col>
                    <xdr:colOff>161925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6" r:id="rId17" name="Spinner 14">
              <controlPr defaultSize="0" autoPict="0">
                <anchor moveWithCells="1" sizeWithCells="1">
                  <from>
                    <xdr:col>16</xdr:col>
                    <xdr:colOff>0</xdr:colOff>
                    <xdr:row>27</xdr:row>
                    <xdr:rowOff>0</xdr:rowOff>
                  </from>
                  <to>
                    <xdr:col>16</xdr:col>
                    <xdr:colOff>161925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7" r:id="rId18" name="Spinner 15">
              <controlPr defaultSize="0" autoPict="0">
                <anchor moveWithCells="1" siz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161925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8" r:id="rId19" name="Spinner 16">
              <controlPr defaultSize="0" autoPict="0">
                <anchor moveWithCells="1" sizeWithCells="1">
                  <from>
                    <xdr:col>16</xdr:col>
                    <xdr:colOff>0</xdr:colOff>
                    <xdr:row>31</xdr:row>
                    <xdr:rowOff>0</xdr:rowOff>
                  </from>
                  <to>
                    <xdr:col>16</xdr:col>
                    <xdr:colOff>161925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9" r:id="rId20" name="Spinner 17">
              <controlPr defaultSize="0" autoPict="0">
                <anchor moveWithCells="1" sizeWithCells="1">
                  <from>
                    <xdr:col>16</xdr:col>
                    <xdr:colOff>0</xdr:colOff>
                    <xdr:row>23</xdr:row>
                    <xdr:rowOff>0</xdr:rowOff>
                  </from>
                  <to>
                    <xdr:col>16</xdr:col>
                    <xdr:colOff>161925</xdr:colOff>
                    <xdr:row>23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0" r:id="rId21" name="Spinner 18">
              <controlPr defaultSize="0" autoPict="0">
                <anchor moveWithCells="1" sizeWithCells="1">
                  <from>
                    <xdr:col>16</xdr:col>
                    <xdr:colOff>0</xdr:colOff>
                    <xdr:row>25</xdr:row>
                    <xdr:rowOff>0</xdr:rowOff>
                  </from>
                  <to>
                    <xdr:col>16</xdr:col>
                    <xdr:colOff>161925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1" r:id="rId22" name="Spinner 19">
              <controlPr defaultSize="0" autoPict="0">
                <anchor moveWithCells="1" sizeWithCells="1">
                  <from>
                    <xdr:col>16</xdr:col>
                    <xdr:colOff>0</xdr:colOff>
                    <xdr:row>27</xdr:row>
                    <xdr:rowOff>0</xdr:rowOff>
                  </from>
                  <to>
                    <xdr:col>16</xdr:col>
                    <xdr:colOff>161925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2" r:id="rId23" name="Spinner 20">
              <controlPr defaultSize="0" autoPict="0">
                <anchor moveWithCells="1" siz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161925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3" r:id="rId24" name="Spinner 21">
              <controlPr defaultSize="0" autoPict="0">
                <anchor moveWithCells="1" sizeWithCells="1">
                  <from>
                    <xdr:col>16</xdr:col>
                    <xdr:colOff>0</xdr:colOff>
                    <xdr:row>31</xdr:row>
                    <xdr:rowOff>0</xdr:rowOff>
                  </from>
                  <to>
                    <xdr:col>16</xdr:col>
                    <xdr:colOff>161925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4" r:id="rId25" name="Spinner 22">
              <controlPr defaultSize="0" autoPict="0">
                <anchor moveWithCells="1" sizeWithCells="1">
                  <from>
                    <xdr:col>18</xdr:col>
                    <xdr:colOff>9525</xdr:colOff>
                    <xdr:row>21</xdr:row>
                    <xdr:rowOff>0</xdr:rowOff>
                  </from>
                  <to>
                    <xdr:col>18</xdr:col>
                    <xdr:colOff>171450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5" r:id="rId26" name="Spinner 23">
              <controlPr defaultSize="0" autoPict="0">
                <anchor moveWithCells="1" sizeWithCells="1">
                  <from>
                    <xdr:col>18</xdr:col>
                    <xdr:colOff>9525</xdr:colOff>
                    <xdr:row>23</xdr:row>
                    <xdr:rowOff>0</xdr:rowOff>
                  </from>
                  <to>
                    <xdr:col>18</xdr:col>
                    <xdr:colOff>171450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6" r:id="rId27" name="Spinner 24">
              <controlPr defaultSize="0" autoPict="0">
                <anchor moveWithCells="1" sizeWithCells="1">
                  <from>
                    <xdr:col>18</xdr:col>
                    <xdr:colOff>9525</xdr:colOff>
                    <xdr:row>25</xdr:row>
                    <xdr:rowOff>0</xdr:rowOff>
                  </from>
                  <to>
                    <xdr:col>18</xdr:col>
                    <xdr:colOff>171450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7" r:id="rId28" name="Spinner 25">
              <controlPr defaultSize="0" autoPict="0">
                <anchor moveWithCells="1" sizeWithCells="1">
                  <from>
                    <xdr:col>18</xdr:col>
                    <xdr:colOff>9525</xdr:colOff>
                    <xdr:row>27</xdr:row>
                    <xdr:rowOff>0</xdr:rowOff>
                  </from>
                  <to>
                    <xdr:col>18</xdr:col>
                    <xdr:colOff>171450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8" r:id="rId29" name="Spinner 26">
              <controlPr defaultSize="0" autoPict="0">
                <anchor moveWithCells="1" sizeWithCells="1">
                  <from>
                    <xdr:col>18</xdr:col>
                    <xdr:colOff>9525</xdr:colOff>
                    <xdr:row>29</xdr:row>
                    <xdr:rowOff>0</xdr:rowOff>
                  </from>
                  <to>
                    <xdr:col>18</xdr:col>
                    <xdr:colOff>171450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9" r:id="rId30" name="Spinner 27">
              <controlPr defaultSize="0" autoPict="0">
                <anchor moveWithCells="1" sizeWithCells="1">
                  <from>
                    <xdr:col>18</xdr:col>
                    <xdr:colOff>9525</xdr:colOff>
                    <xdr:row>31</xdr:row>
                    <xdr:rowOff>0</xdr:rowOff>
                  </from>
                  <to>
                    <xdr:col>18</xdr:col>
                    <xdr:colOff>171450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0" r:id="rId31" name="Spinner 28">
              <controlPr defaultSize="0" autoPict="0">
                <anchor moveWithCells="1" sizeWithCells="1">
                  <from>
                    <xdr:col>18</xdr:col>
                    <xdr:colOff>9525</xdr:colOff>
                    <xdr:row>33</xdr:row>
                    <xdr:rowOff>0</xdr:rowOff>
                  </from>
                  <to>
                    <xdr:col>18</xdr:col>
                    <xdr:colOff>171450</xdr:colOff>
                    <xdr:row>34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/>
  <dimension ref="A1:AB55"/>
  <sheetViews>
    <sheetView showGridLines="0" showRowColHeaders="0" tabSelected="1" topLeftCell="B2" zoomScaleNormal="100" workbookViewId="0"/>
  </sheetViews>
  <sheetFormatPr defaultColWidth="11.42578125" defaultRowHeight="15" outlineLevelRow="1" x14ac:dyDescent="0.25"/>
  <cols>
    <col min="1" max="1" width="2.7109375" style="664" customWidth="1"/>
    <col min="2" max="2" width="9.28515625" style="664" customWidth="1"/>
    <col min="3" max="3" width="2.7109375" style="664" customWidth="1"/>
    <col min="4" max="4" width="21.140625" style="664" customWidth="1"/>
    <col min="5" max="5" width="2.7109375" style="664" customWidth="1"/>
    <col min="6" max="6" width="9.140625" style="664" customWidth="1"/>
    <col min="7" max="7" width="2.7109375" style="664" customWidth="1"/>
    <col min="8" max="8" width="6" style="664" customWidth="1"/>
    <col min="9" max="9" width="2.7109375" style="664" customWidth="1"/>
    <col min="10" max="10" width="14.7109375" style="664" customWidth="1"/>
    <col min="11" max="11" width="2.7109375" style="664" customWidth="1"/>
    <col min="12" max="12" width="9.42578125" style="664" customWidth="1"/>
    <col min="13" max="13" width="2.7109375" style="664" customWidth="1"/>
    <col min="14" max="14" width="9.28515625" style="664" customWidth="1"/>
    <col min="15" max="15" width="9.7109375" style="664" customWidth="1"/>
    <col min="16" max="17" width="2.140625" style="664" customWidth="1"/>
    <col min="18" max="18" width="8.85546875" style="664" customWidth="1"/>
    <col min="19" max="19" width="23.85546875" style="664" customWidth="1"/>
    <col min="20" max="20" width="3.5703125" style="664" customWidth="1"/>
    <col min="21" max="21" width="12.140625" style="664" customWidth="1"/>
    <col min="22" max="22" width="4.28515625" style="664" customWidth="1"/>
    <col min="23" max="23" width="10.85546875" style="664" customWidth="1"/>
    <col min="24" max="24" width="3" style="664" customWidth="1"/>
    <col min="25" max="26" width="11.42578125" style="664"/>
    <col min="27" max="27" width="3.7109375" style="664" customWidth="1"/>
    <col min="28" max="16384" width="11.42578125" style="664"/>
  </cols>
  <sheetData>
    <row r="1" spans="1:28" ht="60" customHeight="1" thickBot="1" x14ac:dyDescent="0.3">
      <c r="A1" s="497"/>
      <c r="B1" s="1507" t="s">
        <v>1275</v>
      </c>
      <c r="C1" s="1507"/>
      <c r="D1" s="1507"/>
      <c r="E1" s="1507"/>
      <c r="F1" s="1507"/>
      <c r="G1" s="1507"/>
      <c r="H1" s="1507"/>
      <c r="I1" s="1507"/>
      <c r="J1" s="1507"/>
      <c r="K1" s="1507"/>
      <c r="L1" s="1507"/>
      <c r="M1" s="1507"/>
      <c r="N1" s="1507"/>
      <c r="O1" s="1507"/>
      <c r="P1" s="1507"/>
      <c r="Q1" s="1507"/>
      <c r="R1" s="1507"/>
      <c r="S1" s="1507"/>
      <c r="T1" s="1507"/>
      <c r="U1" s="1507"/>
      <c r="V1" s="1507"/>
      <c r="W1" s="1507"/>
      <c r="X1" s="497"/>
    </row>
    <row r="2" spans="1:28" ht="28.5" customHeight="1" thickBot="1" x14ac:dyDescent="0.3">
      <c r="A2" s="497"/>
      <c r="B2" s="1076" t="s">
        <v>870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8"/>
      <c r="X2" s="497"/>
    </row>
    <row r="3" spans="1:28" ht="14.25" customHeight="1" x14ac:dyDescent="0.25">
      <c r="A3" s="497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497"/>
      <c r="Q3" s="497"/>
      <c r="R3" s="497"/>
      <c r="S3" s="497"/>
      <c r="T3" s="497"/>
      <c r="U3" s="497"/>
      <c r="V3" s="497"/>
      <c r="W3" s="497"/>
      <c r="X3" s="497"/>
    </row>
    <row r="4" spans="1:28" ht="27.75" x14ac:dyDescent="0.25">
      <c r="A4" s="497"/>
      <c r="B4" s="1529" t="s">
        <v>977</v>
      </c>
      <c r="C4" s="1508"/>
      <c r="D4" s="1508"/>
      <c r="E4" s="1508"/>
      <c r="F4" s="1508"/>
      <c r="G4" s="1508"/>
      <c r="H4" s="1508"/>
      <c r="I4" s="1508"/>
      <c r="J4" s="1508"/>
      <c r="K4" s="1508"/>
      <c r="L4" s="1508"/>
      <c r="M4" s="1508"/>
      <c r="N4" s="1508"/>
      <c r="O4" s="1508"/>
      <c r="P4" s="1508"/>
      <c r="Q4" s="1508"/>
      <c r="R4" s="1508"/>
      <c r="S4" s="1508"/>
      <c r="T4" s="1508"/>
      <c r="U4" s="1508"/>
      <c r="V4" s="1508"/>
      <c r="W4" s="1530"/>
      <c r="X4" s="497"/>
    </row>
    <row r="5" spans="1:28" ht="13.5" customHeight="1" x14ac:dyDescent="0.25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7"/>
      <c r="U5" s="497"/>
      <c r="V5" s="497"/>
      <c r="W5" s="497"/>
      <c r="X5" s="497"/>
    </row>
    <row r="6" spans="1:28" ht="29.25" customHeight="1" x14ac:dyDescent="0.55000000000000004">
      <c r="A6" s="497"/>
      <c r="B6" s="1510" t="s">
        <v>940</v>
      </c>
      <c r="C6" s="1510"/>
      <c r="D6" s="1510"/>
      <c r="E6" s="1510"/>
      <c r="F6" s="1510"/>
      <c r="G6" s="1510"/>
      <c r="H6" s="1510"/>
      <c r="I6" s="1510"/>
      <c r="J6" s="1510"/>
      <c r="K6" s="1510"/>
      <c r="L6" s="1510"/>
      <c r="M6" s="1510"/>
      <c r="N6" s="1510"/>
      <c r="O6" s="1510"/>
      <c r="P6" s="497"/>
      <c r="Q6" s="497"/>
      <c r="R6" s="1510" t="s">
        <v>463</v>
      </c>
      <c r="S6" s="1510"/>
      <c r="T6" s="1510"/>
      <c r="U6" s="1510"/>
      <c r="V6" s="1510"/>
      <c r="W6" s="1510"/>
      <c r="X6" s="497"/>
      <c r="Y6" s="722"/>
      <c r="Z6" s="722"/>
      <c r="AA6" s="722"/>
      <c r="AB6" s="722"/>
    </row>
    <row r="7" spans="1:28" ht="9" customHeight="1" x14ac:dyDescent="0.25">
      <c r="A7" s="497"/>
      <c r="B7" s="497"/>
      <c r="C7" s="497"/>
      <c r="D7" s="497"/>
      <c r="E7" s="497"/>
      <c r="F7" s="497"/>
      <c r="G7" s="497"/>
      <c r="H7" s="497"/>
      <c r="I7" s="497"/>
      <c r="J7" s="497"/>
      <c r="K7" s="497"/>
      <c r="L7" s="497"/>
      <c r="M7" s="497"/>
      <c r="N7" s="497"/>
      <c r="O7" s="497"/>
      <c r="P7" s="497"/>
      <c r="Q7" s="497"/>
      <c r="R7" s="497"/>
      <c r="S7" s="497"/>
      <c r="T7" s="497"/>
      <c r="U7" s="497"/>
      <c r="V7" s="497"/>
      <c r="W7" s="497"/>
      <c r="X7" s="497"/>
      <c r="Y7" s="722"/>
      <c r="Z7" s="722"/>
      <c r="AA7" s="722"/>
      <c r="AB7" s="722"/>
    </row>
    <row r="8" spans="1:28" ht="36" customHeight="1" x14ac:dyDescent="0.35">
      <c r="A8" s="497"/>
      <c r="B8" s="677" t="s">
        <v>941</v>
      </c>
      <c r="C8" s="677"/>
      <c r="D8" s="782" t="s">
        <v>1</v>
      </c>
      <c r="E8" s="716"/>
      <c r="F8" s="716" t="s">
        <v>942</v>
      </c>
      <c r="G8" s="716"/>
      <c r="H8" s="716" t="s">
        <v>943</v>
      </c>
      <c r="I8" s="716"/>
      <c r="J8" s="717" t="s">
        <v>944</v>
      </c>
      <c r="K8" s="717"/>
      <c r="L8" s="717" t="s">
        <v>976</v>
      </c>
      <c r="M8" s="717"/>
      <c r="N8" s="1517" t="s">
        <v>945</v>
      </c>
      <c r="O8" s="1517"/>
      <c r="P8" s="670"/>
      <c r="Q8" s="670"/>
      <c r="R8" s="691" t="s">
        <v>946</v>
      </c>
      <c r="S8" s="692"/>
      <c r="T8" s="692"/>
      <c r="U8" s="1518" t="str">
        <f>IF(SUM(STOCKS!W10:W34)=0,"",IF(STOCKS!W16="",SUM(STOCKS!W10:W34),SUM(STOCKS!W10:W34)-STOCKS!W16))</f>
        <v/>
      </c>
      <c r="V8" s="1518"/>
      <c r="W8" s="1520" t="str">
        <f>IF(U8="","","t de MS")</f>
        <v/>
      </c>
      <c r="X8" s="497"/>
      <c r="Y8" s="955"/>
      <c r="Z8" s="957"/>
      <c r="AA8" s="448"/>
      <c r="AB8" s="448"/>
    </row>
    <row r="9" spans="1:28" ht="24" customHeight="1" x14ac:dyDescent="0.35">
      <c r="A9" s="497"/>
      <c r="B9" s="693" t="s">
        <v>947</v>
      </c>
      <c r="C9" s="663"/>
      <c r="D9" s="746"/>
      <c r="E9" s="739"/>
      <c r="F9" s="747"/>
      <c r="G9" s="497"/>
      <c r="H9" s="694" t="str">
        <f>IF(D9="","",VLOOKUP(D9,$D$41:$F$50,3))</f>
        <v/>
      </c>
      <c r="I9" s="497"/>
      <c r="J9" s="695" t="str">
        <f>IF(D9="","",VLOOKUP(D9,$D$41:$E$50,2))</f>
        <v/>
      </c>
      <c r="K9" s="497"/>
      <c r="L9" s="747"/>
      <c r="M9" s="497"/>
      <c r="N9" s="696" t="str">
        <f>IF(D9="","",(F9*J9*L9)/1000)</f>
        <v/>
      </c>
      <c r="O9" s="697" t="str">
        <f>IF(D9="","","t de MS")</f>
        <v/>
      </c>
      <c r="P9" s="497"/>
      <c r="Q9" s="497"/>
      <c r="R9" s="698"/>
      <c r="S9" s="699"/>
      <c r="T9" s="699"/>
      <c r="U9" s="1519"/>
      <c r="V9" s="1519"/>
      <c r="W9" s="1521"/>
      <c r="X9" s="497"/>
      <c r="Y9" s="955"/>
      <c r="Z9" s="957"/>
      <c r="AA9" s="448"/>
      <c r="AB9" s="448"/>
    </row>
    <row r="10" spans="1:28" ht="12" customHeight="1" x14ac:dyDescent="0.35">
      <c r="A10" s="497"/>
      <c r="B10" s="693"/>
      <c r="C10" s="663"/>
      <c r="D10" s="748"/>
      <c r="E10" s="739"/>
      <c r="F10" s="749"/>
      <c r="G10" s="497"/>
      <c r="H10" s="694"/>
      <c r="I10" s="497"/>
      <c r="J10" s="695"/>
      <c r="K10" s="497"/>
      <c r="L10" s="749"/>
      <c r="M10" s="497"/>
      <c r="N10" s="696"/>
      <c r="O10" s="697"/>
      <c r="P10" s="497"/>
      <c r="Q10" s="497"/>
      <c r="R10" s="1522" t="s">
        <v>949</v>
      </c>
      <c r="S10" s="1523"/>
      <c r="T10" s="1523"/>
      <c r="U10" s="1519" t="str">
        <f>IF(SUM(N9:N27)=0,"",SUM(N9:N27))</f>
        <v/>
      </c>
      <c r="V10" s="1519"/>
      <c r="W10" s="1521" t="str">
        <f>IF(U10="","","t de MS")</f>
        <v/>
      </c>
      <c r="X10" s="497"/>
      <c r="Y10" s="956"/>
      <c r="Z10" s="448"/>
      <c r="AA10" s="448"/>
      <c r="AB10" s="448"/>
    </row>
    <row r="11" spans="1:28" ht="24" customHeight="1" x14ac:dyDescent="0.35">
      <c r="A11" s="497"/>
      <c r="B11" s="693" t="s">
        <v>950</v>
      </c>
      <c r="C11" s="663"/>
      <c r="D11" s="746"/>
      <c r="E11" s="739"/>
      <c r="F11" s="747"/>
      <c r="G11" s="497"/>
      <c r="H11" s="694" t="str">
        <f>IF(D11="","",VLOOKUP(D11,$D$41:$F$50,3))</f>
        <v/>
      </c>
      <c r="I11" s="497"/>
      <c r="J11" s="695" t="str">
        <f>IF(D11="","",VLOOKUP(D11,$D$41:$E$50,2))</f>
        <v/>
      </c>
      <c r="K11" s="497"/>
      <c r="L11" s="747"/>
      <c r="M11" s="497"/>
      <c r="N11" s="696" t="str">
        <f>IF(D11="","",(F11*J11*L11)/1000)</f>
        <v/>
      </c>
      <c r="O11" s="697" t="str">
        <f>IF(D11="","","t de MS")</f>
        <v/>
      </c>
      <c r="P11" s="497"/>
      <c r="Q11" s="497"/>
      <c r="R11" s="1522"/>
      <c r="S11" s="1523"/>
      <c r="T11" s="1523"/>
      <c r="U11" s="1519"/>
      <c r="V11" s="1519"/>
      <c r="W11" s="1521"/>
      <c r="X11" s="497"/>
      <c r="Y11" s="448"/>
      <c r="Z11" s="448"/>
      <c r="AA11" s="448"/>
      <c r="AB11" s="448"/>
    </row>
    <row r="12" spans="1:28" ht="12" customHeight="1" x14ac:dyDescent="0.35">
      <c r="A12" s="497"/>
      <c r="B12" s="693"/>
      <c r="C12" s="663"/>
      <c r="D12" s="748"/>
      <c r="E12" s="739"/>
      <c r="F12" s="749"/>
      <c r="G12" s="497"/>
      <c r="H12" s="694"/>
      <c r="I12" s="497"/>
      <c r="J12" s="695"/>
      <c r="K12" s="497"/>
      <c r="L12" s="749"/>
      <c r="M12" s="497"/>
      <c r="N12" s="696"/>
      <c r="O12" s="697"/>
      <c r="P12" s="497"/>
      <c r="Q12" s="497"/>
      <c r="R12" s="527"/>
      <c r="S12" s="526"/>
      <c r="T12" s="526"/>
      <c r="U12" s="526"/>
      <c r="V12" s="526"/>
      <c r="W12" s="700"/>
      <c r="X12" s="497"/>
      <c r="Y12" s="722"/>
      <c r="Z12" s="722"/>
      <c r="AA12" s="722"/>
      <c r="AB12" s="722"/>
    </row>
    <row r="13" spans="1:28" ht="24" customHeight="1" x14ac:dyDescent="0.35">
      <c r="A13" s="497"/>
      <c r="B13" s="693" t="s">
        <v>951</v>
      </c>
      <c r="C13" s="663"/>
      <c r="D13" s="746"/>
      <c r="E13" s="739"/>
      <c r="F13" s="747"/>
      <c r="G13" s="497"/>
      <c r="H13" s="694" t="str">
        <f>IF(D13="","",VLOOKUP(D13,$D$41:$F$50,3))</f>
        <v/>
      </c>
      <c r="I13" s="497"/>
      <c r="J13" s="695" t="str">
        <f>IF(D13="","",VLOOKUP(D13,$D$41:$E$50,2))</f>
        <v/>
      </c>
      <c r="K13" s="497"/>
      <c r="L13" s="747"/>
      <c r="M13" s="497"/>
      <c r="N13" s="696" t="str">
        <f>IF(D13="","",(F13*J13*L13)/1000)</f>
        <v/>
      </c>
      <c r="O13" s="697" t="str">
        <f>IF(D13="","","t de MS")</f>
        <v/>
      </c>
      <c r="P13" s="497"/>
      <c r="Q13" s="497"/>
      <c r="R13" s="1531" t="s">
        <v>952</v>
      </c>
      <c r="S13" s="1532"/>
      <c r="T13" s="1533">
        <f>(V13*52)/100</f>
        <v>4.16</v>
      </c>
      <c r="U13" s="1534" t="s">
        <v>953</v>
      </c>
      <c r="V13" s="1535">
        <v>8</v>
      </c>
      <c r="W13" s="1536" t="s">
        <v>115</v>
      </c>
      <c r="X13" s="497"/>
      <c r="Y13" s="722"/>
      <c r="Z13" s="722"/>
      <c r="AA13" s="722"/>
      <c r="AB13" s="722"/>
    </row>
    <row r="14" spans="1:28" ht="12" customHeight="1" x14ac:dyDescent="0.35">
      <c r="A14" s="497"/>
      <c r="B14" s="693"/>
      <c r="C14" s="663"/>
      <c r="D14" s="748"/>
      <c r="E14" s="739"/>
      <c r="F14" s="749"/>
      <c r="G14" s="497"/>
      <c r="H14" s="694"/>
      <c r="I14" s="497"/>
      <c r="J14" s="695"/>
      <c r="K14" s="497"/>
      <c r="L14" s="749"/>
      <c r="M14" s="497"/>
      <c r="N14" s="696"/>
      <c r="O14" s="697"/>
      <c r="P14" s="497"/>
      <c r="Q14" s="497"/>
      <c r="R14" s="1531"/>
      <c r="S14" s="1532"/>
      <c r="T14" s="1533"/>
      <c r="U14" s="1534"/>
      <c r="V14" s="1535"/>
      <c r="W14" s="1536"/>
      <c r="X14" s="497"/>
      <c r="Y14" s="722"/>
      <c r="Z14" s="722"/>
      <c r="AA14" s="722"/>
      <c r="AB14" s="722"/>
    </row>
    <row r="15" spans="1:28" ht="24" customHeight="1" x14ac:dyDescent="0.35">
      <c r="A15" s="497"/>
      <c r="B15" s="693" t="s">
        <v>954</v>
      </c>
      <c r="C15" s="663"/>
      <c r="D15" s="746"/>
      <c r="E15" s="739"/>
      <c r="F15" s="747"/>
      <c r="G15" s="497"/>
      <c r="H15" s="694" t="str">
        <f>IF(D15="","",VLOOKUP(D15,$D$41:$F$50,3))</f>
        <v/>
      </c>
      <c r="I15" s="497"/>
      <c r="J15" s="695" t="str">
        <f>IF(D15="","",VLOOKUP(D15,$D$41:$E$50,2))</f>
        <v/>
      </c>
      <c r="K15" s="497"/>
      <c r="L15" s="747"/>
      <c r="M15" s="497"/>
      <c r="N15" s="696" t="str">
        <f>IF(D15="","",(F15*J15*L15)/1000)</f>
        <v/>
      </c>
      <c r="O15" s="697" t="str">
        <f>IF(D15="","","t de MS")</f>
        <v/>
      </c>
      <c r="P15" s="497"/>
      <c r="Q15" s="497"/>
      <c r="R15" s="1527" t="s">
        <v>955</v>
      </c>
      <c r="S15" s="1528"/>
      <c r="T15" s="1528"/>
      <c r="U15" s="1519" t="str">
        <f>IF(SUM(STOCKS!W10:W34)=0,"",IF(U10="","",U8-(U10*(1+(V13/100)))))</f>
        <v/>
      </c>
      <c r="V15" s="1519"/>
      <c r="W15" s="1521" t="str">
        <f>IF(U15="","","t de MS")</f>
        <v/>
      </c>
      <c r="X15" s="497"/>
      <c r="Y15" s="722"/>
      <c r="Z15" s="722"/>
      <c r="AA15" s="722"/>
      <c r="AB15" s="722"/>
    </row>
    <row r="16" spans="1:28" ht="12" customHeight="1" x14ac:dyDescent="0.35">
      <c r="A16" s="497"/>
      <c r="B16" s="693"/>
      <c r="C16" s="663"/>
      <c r="D16" s="748"/>
      <c r="E16" s="739"/>
      <c r="F16" s="749"/>
      <c r="G16" s="497"/>
      <c r="H16" s="694"/>
      <c r="I16" s="497"/>
      <c r="J16" s="695"/>
      <c r="K16" s="497"/>
      <c r="L16" s="749"/>
      <c r="M16" s="497"/>
      <c r="N16" s="696"/>
      <c r="O16" s="697"/>
      <c r="P16" s="497"/>
      <c r="Q16" s="497"/>
      <c r="R16" s="1527"/>
      <c r="S16" s="1528"/>
      <c r="T16" s="1528"/>
      <c r="U16" s="1519"/>
      <c r="V16" s="1519"/>
      <c r="W16" s="1521"/>
      <c r="X16" s="497"/>
      <c r="Y16" s="722"/>
      <c r="Z16" s="722"/>
      <c r="AA16" s="722"/>
      <c r="AB16" s="722"/>
    </row>
    <row r="17" spans="1:28" ht="24" customHeight="1" x14ac:dyDescent="0.35">
      <c r="A17" s="497"/>
      <c r="B17" s="693" t="s">
        <v>956</v>
      </c>
      <c r="C17" s="663"/>
      <c r="D17" s="746"/>
      <c r="E17" s="739"/>
      <c r="F17" s="747"/>
      <c r="G17" s="497"/>
      <c r="H17" s="694" t="str">
        <f>IF(D17="","",VLOOKUP(D17,$D$41:$F$50,3))</f>
        <v/>
      </c>
      <c r="I17" s="497"/>
      <c r="J17" s="695" t="str">
        <f>IF(D17="","",VLOOKUP(D17,$D$41:$E$50,2))</f>
        <v/>
      </c>
      <c r="K17" s="497"/>
      <c r="L17" s="747"/>
      <c r="M17" s="497"/>
      <c r="N17" s="696" t="str">
        <f>IF(D17="","",(F17*J17*L17)/1000)</f>
        <v/>
      </c>
      <c r="O17" s="697" t="str">
        <f>IF(D17="","","t de MS")</f>
        <v/>
      </c>
      <c r="P17" s="497"/>
      <c r="Q17" s="497"/>
      <c r="R17" s="1527"/>
      <c r="S17" s="1528"/>
      <c r="T17" s="1528"/>
      <c r="U17" s="1519"/>
      <c r="V17" s="1519"/>
      <c r="W17" s="1521"/>
      <c r="X17" s="497"/>
      <c r="Y17" s="722"/>
      <c r="Z17" s="722"/>
      <c r="AA17" s="722"/>
      <c r="AB17" s="722"/>
    </row>
    <row r="18" spans="1:28" ht="12" customHeight="1" x14ac:dyDescent="0.35">
      <c r="A18" s="497"/>
      <c r="B18" s="693"/>
      <c r="C18" s="663"/>
      <c r="D18" s="748"/>
      <c r="E18" s="739"/>
      <c r="F18" s="749"/>
      <c r="G18" s="497"/>
      <c r="H18" s="694"/>
      <c r="I18" s="497"/>
      <c r="J18" s="695"/>
      <c r="K18" s="497"/>
      <c r="L18" s="749"/>
      <c r="M18" s="497"/>
      <c r="N18" s="696"/>
      <c r="O18" s="697"/>
      <c r="P18" s="497"/>
      <c r="Q18" s="497"/>
      <c r="R18" s="1525" t="s">
        <v>959</v>
      </c>
      <c r="S18" s="1526"/>
      <c r="T18" s="1526"/>
      <c r="U18" s="1524" t="str">
        <f>IF(U15="","",U15/U10)</f>
        <v/>
      </c>
      <c r="V18" s="1524"/>
      <c r="W18" s="500"/>
      <c r="X18" s="497"/>
      <c r="Y18" s="722"/>
      <c r="Z18" s="722"/>
      <c r="AA18" s="722"/>
      <c r="AB18" s="722"/>
    </row>
    <row r="19" spans="1:28" ht="24" customHeight="1" x14ac:dyDescent="0.35">
      <c r="A19" s="497"/>
      <c r="B19" s="693" t="s">
        <v>958</v>
      </c>
      <c r="C19" s="663"/>
      <c r="D19" s="746"/>
      <c r="E19" s="739"/>
      <c r="F19" s="747"/>
      <c r="G19" s="497"/>
      <c r="H19" s="694" t="str">
        <f>IF(D19="","",VLOOKUP(D19,$D$41:$F$50,3))</f>
        <v/>
      </c>
      <c r="I19" s="497"/>
      <c r="J19" s="695" t="str">
        <f>IF(D19="","",VLOOKUP(D19,$D$41:$E$50,2))</f>
        <v/>
      </c>
      <c r="K19" s="497"/>
      <c r="L19" s="747"/>
      <c r="M19" s="497"/>
      <c r="N19" s="696" t="str">
        <f>IF(D19="","",(F19*J19*L19)/1000)</f>
        <v/>
      </c>
      <c r="O19" s="697" t="str">
        <f>IF(D19="","","t de MS")</f>
        <v/>
      </c>
      <c r="P19" s="497"/>
      <c r="Q19" s="497"/>
      <c r="R19" s="1525"/>
      <c r="S19" s="1526"/>
      <c r="T19" s="1526"/>
      <c r="U19" s="1524"/>
      <c r="V19" s="1524"/>
      <c r="W19" s="701"/>
      <c r="X19" s="497"/>
      <c r="Y19" s="722"/>
      <c r="Z19" s="722"/>
      <c r="AA19" s="722"/>
      <c r="AB19" s="722"/>
    </row>
    <row r="20" spans="1:28" ht="12" customHeight="1" x14ac:dyDescent="0.35">
      <c r="A20" s="497"/>
      <c r="B20" s="693"/>
      <c r="C20" s="663"/>
      <c r="D20" s="748"/>
      <c r="E20" s="739"/>
      <c r="F20" s="749"/>
      <c r="G20" s="497"/>
      <c r="H20" s="694"/>
      <c r="I20" s="497"/>
      <c r="J20" s="695"/>
      <c r="K20" s="497"/>
      <c r="L20" s="749"/>
      <c r="M20" s="497"/>
      <c r="N20" s="696"/>
      <c r="O20" s="697"/>
      <c r="P20" s="497"/>
      <c r="Q20" s="497"/>
      <c r="R20" s="1097" t="str">
        <f>IF(U8="","",IF(U15&lt;0,"Attention !                                                                                                votre bilan fourrager est déficitaire",IF(U15&gt;10,"Votre bilan fourrager est excédentaire","Votre bilan fourrager est équilibré")))</f>
        <v/>
      </c>
      <c r="S20" s="1098"/>
      <c r="T20" s="1098"/>
      <c r="U20" s="1098"/>
      <c r="V20" s="1098"/>
      <c r="W20" s="1099"/>
      <c r="X20" s="497"/>
      <c r="Y20" s="722"/>
      <c r="Z20" s="722"/>
      <c r="AA20" s="722"/>
      <c r="AB20" s="722"/>
    </row>
    <row r="21" spans="1:28" ht="24" customHeight="1" x14ac:dyDescent="0.35">
      <c r="A21" s="497"/>
      <c r="B21" s="693" t="s">
        <v>960</v>
      </c>
      <c r="C21" s="663"/>
      <c r="D21" s="746"/>
      <c r="E21" s="739"/>
      <c r="F21" s="747"/>
      <c r="G21" s="497"/>
      <c r="H21" s="694" t="str">
        <f>IF(D21="","",VLOOKUP(D21,$D$41:$F$50,3))</f>
        <v/>
      </c>
      <c r="I21" s="497"/>
      <c r="J21" s="695" t="str">
        <f>IF(D21="","",VLOOKUP(D21,$D$41:$E$50,2))</f>
        <v/>
      </c>
      <c r="K21" s="497"/>
      <c r="L21" s="747"/>
      <c r="M21" s="497"/>
      <c r="N21" s="696" t="str">
        <f>IF(D21="","",(F21*J21*L21)/1000)</f>
        <v/>
      </c>
      <c r="O21" s="697" t="str">
        <f>IF(D21="","","t de MS")</f>
        <v/>
      </c>
      <c r="P21" s="497"/>
      <c r="Q21" s="497"/>
      <c r="R21" s="1097"/>
      <c r="S21" s="1098"/>
      <c r="T21" s="1098"/>
      <c r="U21" s="1098"/>
      <c r="V21" s="1098"/>
      <c r="W21" s="1099"/>
      <c r="X21" s="497"/>
      <c r="Y21" s="722"/>
      <c r="Z21" s="722"/>
      <c r="AA21" s="722"/>
      <c r="AB21" s="722"/>
    </row>
    <row r="22" spans="1:28" ht="12" customHeight="1" x14ac:dyDescent="0.35">
      <c r="A22" s="497"/>
      <c r="B22" s="693"/>
      <c r="C22" s="663"/>
      <c r="D22" s="748"/>
      <c r="E22" s="739"/>
      <c r="F22" s="749"/>
      <c r="G22" s="497"/>
      <c r="H22" s="694"/>
      <c r="I22" s="497"/>
      <c r="J22" s="695"/>
      <c r="K22" s="497"/>
      <c r="L22" s="749"/>
      <c r="M22" s="497"/>
      <c r="N22" s="696"/>
      <c r="O22" s="697"/>
      <c r="P22" s="497"/>
      <c r="Q22" s="497"/>
      <c r="R22" s="1097"/>
      <c r="S22" s="1098"/>
      <c r="T22" s="1098"/>
      <c r="U22" s="1098"/>
      <c r="V22" s="1098"/>
      <c r="W22" s="1099"/>
      <c r="X22" s="497"/>
      <c r="Y22" s="722"/>
      <c r="Z22" s="722"/>
      <c r="AA22" s="722"/>
      <c r="AB22" s="722"/>
    </row>
    <row r="23" spans="1:28" ht="24" customHeight="1" x14ac:dyDescent="0.35">
      <c r="A23" s="497"/>
      <c r="B23" s="693" t="s">
        <v>961</v>
      </c>
      <c r="C23" s="663"/>
      <c r="D23" s="746"/>
      <c r="E23" s="739"/>
      <c r="F23" s="747"/>
      <c r="G23" s="497"/>
      <c r="H23" s="694" t="str">
        <f>IF(D23="","",VLOOKUP(D23,$D$41:$F$50,3))</f>
        <v/>
      </c>
      <c r="I23" s="497"/>
      <c r="J23" s="695" t="str">
        <f>IF(D23="","",VLOOKUP(D23,$D$41:$E$50,2))</f>
        <v/>
      </c>
      <c r="K23" s="295"/>
      <c r="L23" s="747"/>
      <c r="M23" s="497"/>
      <c r="N23" s="696" t="str">
        <f>IF(D23="","",(F23*J23*L23)/1000)</f>
        <v/>
      </c>
      <c r="O23" s="697" t="str">
        <f>IF(D23="","","t de MS")</f>
        <v/>
      </c>
      <c r="P23" s="497"/>
      <c r="Q23" s="497"/>
      <c r="R23" s="1527" t="s">
        <v>962</v>
      </c>
      <c r="S23" s="1528"/>
      <c r="T23" s="1528"/>
      <c r="U23" s="1519" t="str">
        <f>IF(STOCKS!W16="",IF(SUM(STOCKS!W10:W34)=0,"",IF(U10="","",U8-(U10*(1+(V13/100))))),IF(SUM(STOCKS!W10:W34)=0,"",IF(U10="","",U15+STOCKS!W16)))</f>
        <v/>
      </c>
      <c r="V23" s="1519"/>
      <c r="W23" s="1521" t="str">
        <f>IF(U23="","","t de MS")</f>
        <v/>
      </c>
      <c r="X23" s="497"/>
      <c r="Y23" s="722"/>
      <c r="Z23" s="722"/>
      <c r="AA23" s="722"/>
      <c r="AB23" s="722"/>
    </row>
    <row r="24" spans="1:28" ht="12" customHeight="1" x14ac:dyDescent="0.35">
      <c r="A24" s="497"/>
      <c r="B24" s="693"/>
      <c r="C24" s="663"/>
      <c r="D24" s="748"/>
      <c r="E24" s="739"/>
      <c r="F24" s="749"/>
      <c r="G24" s="497"/>
      <c r="H24" s="694"/>
      <c r="I24" s="497"/>
      <c r="J24" s="695"/>
      <c r="K24" s="295"/>
      <c r="L24" s="749"/>
      <c r="M24" s="497"/>
      <c r="N24" s="696"/>
      <c r="O24" s="697"/>
      <c r="P24" s="497"/>
      <c r="Q24" s="497"/>
      <c r="R24" s="1527"/>
      <c r="S24" s="1528"/>
      <c r="T24" s="1528"/>
      <c r="U24" s="1519"/>
      <c r="V24" s="1519"/>
      <c r="W24" s="1521"/>
      <c r="X24" s="497"/>
      <c r="Y24" s="722"/>
      <c r="Z24" s="722"/>
      <c r="AA24" s="722"/>
      <c r="AB24" s="722"/>
    </row>
    <row r="25" spans="1:28" ht="24" customHeight="1" x14ac:dyDescent="0.35">
      <c r="A25" s="497"/>
      <c r="B25" s="693" t="s">
        <v>963</v>
      </c>
      <c r="C25" s="663"/>
      <c r="D25" s="746"/>
      <c r="E25" s="739"/>
      <c r="F25" s="747"/>
      <c r="G25" s="497"/>
      <c r="H25" s="694" t="str">
        <f>IF(D25="","",VLOOKUP(D25,$D$41:$F$50,3))</f>
        <v/>
      </c>
      <c r="I25" s="497"/>
      <c r="J25" s="695" t="str">
        <f>IF(D25="","",VLOOKUP(D25,$D$41:$E$50,2))</f>
        <v/>
      </c>
      <c r="K25" s="295"/>
      <c r="L25" s="747"/>
      <c r="M25" s="497"/>
      <c r="N25" s="696" t="str">
        <f>IF(D25="","",(F25*J25*L25)/1000)</f>
        <v/>
      </c>
      <c r="O25" s="697" t="str">
        <f>IF(D25="","","t de MS")</f>
        <v/>
      </c>
      <c r="P25" s="497"/>
      <c r="Q25" s="497"/>
      <c r="R25" s="1527"/>
      <c r="S25" s="1528"/>
      <c r="T25" s="1528"/>
      <c r="U25" s="1519"/>
      <c r="V25" s="1519"/>
      <c r="W25" s="1521"/>
      <c r="X25" s="497"/>
      <c r="Y25" s="722"/>
      <c r="Z25" s="722"/>
      <c r="AA25" s="722"/>
      <c r="AB25" s="722"/>
    </row>
    <row r="26" spans="1:28" ht="12" customHeight="1" x14ac:dyDescent="0.35">
      <c r="A26" s="497"/>
      <c r="B26" s="693"/>
      <c r="C26" s="663"/>
      <c r="D26" s="748"/>
      <c r="E26" s="739"/>
      <c r="F26" s="749"/>
      <c r="G26" s="497"/>
      <c r="H26" s="694"/>
      <c r="I26" s="497"/>
      <c r="J26" s="695"/>
      <c r="K26" s="295"/>
      <c r="L26" s="749"/>
      <c r="M26" s="497"/>
      <c r="N26" s="696"/>
      <c r="O26" s="697"/>
      <c r="P26" s="497"/>
      <c r="Q26" s="497"/>
      <c r="R26" s="1525" t="s">
        <v>959</v>
      </c>
      <c r="S26" s="1526"/>
      <c r="T26" s="1526"/>
      <c r="U26" s="1524" t="str">
        <f>IF(U23="","",U23/U10)</f>
        <v/>
      </c>
      <c r="V26" s="1524"/>
      <c r="W26" s="500"/>
      <c r="X26" s="497"/>
      <c r="Y26" s="722"/>
      <c r="Z26" s="722"/>
      <c r="AA26" s="722"/>
      <c r="AB26" s="722"/>
    </row>
    <row r="27" spans="1:28" ht="24" customHeight="1" x14ac:dyDescent="0.35">
      <c r="A27" s="497"/>
      <c r="B27" s="693" t="s">
        <v>964</v>
      </c>
      <c r="C27" s="663"/>
      <c r="D27" s="746"/>
      <c r="E27" s="739"/>
      <c r="F27" s="747"/>
      <c r="G27" s="497"/>
      <c r="H27" s="694" t="str">
        <f>IF(D27="","",VLOOKUP(D27,$D$41:$F$50,3))</f>
        <v/>
      </c>
      <c r="I27" s="497"/>
      <c r="J27" s="695" t="str">
        <f>IF(D27="","",VLOOKUP(D27,$D$41:$E$50,2))</f>
        <v/>
      </c>
      <c r="K27" s="295"/>
      <c r="L27" s="747"/>
      <c r="M27" s="497"/>
      <c r="N27" s="696" t="str">
        <f>IF(D27="","",(F27*J27*L27)/1000)</f>
        <v/>
      </c>
      <c r="O27" s="697" t="str">
        <f>IF(D27="","","t de MS")</f>
        <v/>
      </c>
      <c r="P27" s="497"/>
      <c r="Q27" s="497"/>
      <c r="R27" s="1525"/>
      <c r="S27" s="1526"/>
      <c r="T27" s="1526"/>
      <c r="U27" s="1524"/>
      <c r="V27" s="1524"/>
      <c r="W27" s="701"/>
      <c r="X27" s="497"/>
      <c r="Y27" s="722"/>
      <c r="Z27" s="722"/>
      <c r="AA27" s="722"/>
      <c r="AB27" s="722"/>
    </row>
    <row r="28" spans="1:28" ht="12" customHeight="1" x14ac:dyDescent="0.25">
      <c r="A28" s="497"/>
      <c r="B28" s="497"/>
      <c r="C28" s="497"/>
      <c r="D28" s="497"/>
      <c r="E28" s="497"/>
      <c r="F28" s="497"/>
      <c r="G28" s="497"/>
      <c r="H28" s="497"/>
      <c r="I28" s="497"/>
      <c r="J28" s="295"/>
      <c r="K28" s="295"/>
      <c r="L28" s="497"/>
      <c r="M28" s="497"/>
      <c r="N28" s="497"/>
      <c r="O28" s="497"/>
      <c r="P28" s="497"/>
      <c r="Q28" s="497"/>
      <c r="R28" s="504"/>
      <c r="S28" s="501"/>
      <c r="T28" s="501"/>
      <c r="U28" s="501"/>
      <c r="V28" s="501"/>
      <c r="W28" s="502"/>
      <c r="X28" s="497"/>
      <c r="Y28" s="722"/>
      <c r="Z28" s="722"/>
      <c r="AA28" s="722"/>
      <c r="AB28" s="722"/>
    </row>
    <row r="29" spans="1:28" x14ac:dyDescent="0.25">
      <c r="A29" s="497"/>
      <c r="B29" s="497"/>
      <c r="C29" s="497"/>
      <c r="D29" s="497"/>
      <c r="E29" s="497"/>
      <c r="F29" s="497"/>
      <c r="G29" s="497"/>
      <c r="H29" s="497"/>
      <c r="I29" s="497"/>
      <c r="J29" s="295"/>
      <c r="K29" s="295"/>
      <c r="L29" s="497"/>
      <c r="M29" s="497"/>
      <c r="N29" s="497"/>
      <c r="O29" s="497"/>
      <c r="P29" s="497"/>
      <c r="Q29" s="497"/>
      <c r="R29" s="497"/>
      <c r="S29" s="497"/>
      <c r="T29" s="497"/>
      <c r="U29" s="497"/>
      <c r="V29" s="497"/>
      <c r="W29" s="497"/>
      <c r="X29" s="497"/>
      <c r="Y29" s="722"/>
      <c r="Z29" s="722"/>
      <c r="AA29" s="722"/>
      <c r="AB29" s="722"/>
    </row>
    <row r="30" spans="1:28" x14ac:dyDescent="0.25">
      <c r="J30" s="388"/>
      <c r="K30" s="388"/>
      <c r="Y30" s="722"/>
      <c r="Z30" s="722"/>
      <c r="AA30" s="722"/>
      <c r="AB30" s="722"/>
    </row>
    <row r="31" spans="1:28" x14ac:dyDescent="0.25">
      <c r="J31" s="388"/>
      <c r="K31" s="388"/>
    </row>
    <row r="32" spans="1:28" x14ac:dyDescent="0.25">
      <c r="J32" s="388"/>
      <c r="K32" s="388"/>
    </row>
    <row r="33" spans="4:20" x14ac:dyDescent="0.25">
      <c r="J33" s="388"/>
      <c r="K33" s="388"/>
    </row>
    <row r="34" spans="4:20" x14ac:dyDescent="0.25">
      <c r="J34" s="388"/>
      <c r="K34" s="388"/>
    </row>
    <row r="35" spans="4:20" x14ac:dyDescent="0.25">
      <c r="J35" s="388"/>
      <c r="K35" s="388"/>
    </row>
    <row r="36" spans="4:20" x14ac:dyDescent="0.25">
      <c r="J36" s="388"/>
      <c r="K36" s="388"/>
    </row>
    <row r="37" spans="4:20" x14ac:dyDescent="0.25">
      <c r="J37" s="388"/>
      <c r="K37" s="388"/>
    </row>
    <row r="38" spans="4:20" hidden="1" outlineLevel="1" x14ac:dyDescent="0.25"/>
    <row r="39" spans="4:20" hidden="1" outlineLevel="1" x14ac:dyDescent="0.25"/>
    <row r="40" spans="4:20" hidden="1" outlineLevel="1" x14ac:dyDescent="0.25"/>
    <row r="41" spans="4:20" hidden="1" outlineLevel="1" x14ac:dyDescent="0.25">
      <c r="D41" s="664" t="s">
        <v>965</v>
      </c>
      <c r="E41" s="388">
        <v>0.5</v>
      </c>
      <c r="F41" s="664">
        <v>0.05</v>
      </c>
    </row>
    <row r="42" spans="4:20" hidden="1" outlineLevel="1" x14ac:dyDescent="0.25">
      <c r="D42" s="664" t="s">
        <v>957</v>
      </c>
      <c r="E42" s="388">
        <v>0.5</v>
      </c>
      <c r="F42" s="664">
        <v>0.05</v>
      </c>
    </row>
    <row r="43" spans="4:20" hidden="1" outlineLevel="1" x14ac:dyDescent="0.25">
      <c r="D43" s="664" t="s">
        <v>966</v>
      </c>
      <c r="E43" s="388">
        <v>1</v>
      </c>
      <c r="F43" s="664">
        <v>7.0000000000000007E-2</v>
      </c>
      <c r="S43" s="702" t="s">
        <v>5</v>
      </c>
      <c r="T43" s="703">
        <v>0.15</v>
      </c>
    </row>
    <row r="44" spans="4:20" hidden="1" outlineLevel="1" x14ac:dyDescent="0.25">
      <c r="D44" s="664" t="s">
        <v>967</v>
      </c>
      <c r="E44" s="388">
        <v>1.5</v>
      </c>
      <c r="F44" s="664">
        <v>0.15</v>
      </c>
      <c r="S44" s="702" t="s">
        <v>968</v>
      </c>
      <c r="T44" s="703">
        <v>0.05</v>
      </c>
    </row>
    <row r="45" spans="4:20" hidden="1" outlineLevel="1" x14ac:dyDescent="0.25">
      <c r="D45" s="664" t="s">
        <v>969</v>
      </c>
      <c r="E45" s="388">
        <v>1</v>
      </c>
      <c r="F45" s="664">
        <v>0.05</v>
      </c>
      <c r="S45" s="702" t="s">
        <v>970</v>
      </c>
      <c r="T45" s="703">
        <v>7.0000000000000007E-2</v>
      </c>
    </row>
    <row r="46" spans="4:20" hidden="1" outlineLevel="1" x14ac:dyDescent="0.25">
      <c r="D46" s="664" t="s">
        <v>948</v>
      </c>
      <c r="E46" s="388">
        <v>2.5</v>
      </c>
      <c r="F46" s="664">
        <v>0.15</v>
      </c>
      <c r="S46" s="702" t="s">
        <v>971</v>
      </c>
      <c r="T46" s="703">
        <v>0.05</v>
      </c>
    </row>
    <row r="47" spans="4:20" hidden="1" outlineLevel="1" x14ac:dyDescent="0.25">
      <c r="D47" s="664" t="s">
        <v>754</v>
      </c>
      <c r="E47" s="388">
        <v>2</v>
      </c>
      <c r="F47" s="664">
        <v>0.15</v>
      </c>
      <c r="S47" s="702" t="s">
        <v>972</v>
      </c>
      <c r="T47" s="703">
        <v>0.15</v>
      </c>
    </row>
    <row r="48" spans="4:20" hidden="1" outlineLevel="1" x14ac:dyDescent="0.25">
      <c r="D48" s="664" t="s">
        <v>973</v>
      </c>
      <c r="E48" s="388">
        <v>2</v>
      </c>
      <c r="F48" s="664">
        <v>0.15</v>
      </c>
      <c r="S48" s="702" t="s">
        <v>974</v>
      </c>
      <c r="T48" s="703">
        <v>0.15</v>
      </c>
    </row>
    <row r="49" spans="4:20" hidden="1" outlineLevel="1" x14ac:dyDescent="0.25">
      <c r="D49" s="664" t="s">
        <v>753</v>
      </c>
      <c r="E49" s="388">
        <v>1.5</v>
      </c>
      <c r="F49" s="664">
        <v>0.15</v>
      </c>
      <c r="S49" s="702" t="s">
        <v>975</v>
      </c>
      <c r="T49" s="703">
        <v>0.05</v>
      </c>
    </row>
    <row r="50" spans="4:20" hidden="1" outlineLevel="1" x14ac:dyDescent="0.25">
      <c r="D50" s="664" t="s">
        <v>832</v>
      </c>
      <c r="E50" s="388">
        <v>2</v>
      </c>
      <c r="F50" s="664">
        <v>0.15</v>
      </c>
    </row>
    <row r="51" spans="4:20" hidden="1" outlineLevel="1" x14ac:dyDescent="0.25">
      <c r="D51" s="664" t="s">
        <v>752</v>
      </c>
      <c r="E51" s="388">
        <v>2</v>
      </c>
      <c r="F51" s="664">
        <v>0.15</v>
      </c>
    </row>
    <row r="52" spans="4:20" hidden="1" outlineLevel="1" x14ac:dyDescent="0.25"/>
    <row r="53" spans="4:20" hidden="1" outlineLevel="1" x14ac:dyDescent="0.25"/>
    <row r="54" spans="4:20" hidden="1" outlineLevel="1" x14ac:dyDescent="0.25"/>
    <row r="55" spans="4:20" collapsed="1" x14ac:dyDescent="0.25"/>
  </sheetData>
  <mergeCells count="27">
    <mergeCell ref="R26:T27"/>
    <mergeCell ref="U26:V27"/>
    <mergeCell ref="R23:T25"/>
    <mergeCell ref="U23:V25"/>
    <mergeCell ref="W23:W25"/>
    <mergeCell ref="B2:W2"/>
    <mergeCell ref="B1:W1"/>
    <mergeCell ref="B4:W4"/>
    <mergeCell ref="R13:S14"/>
    <mergeCell ref="T13:T14"/>
    <mergeCell ref="U13:U14"/>
    <mergeCell ref="V13:V14"/>
    <mergeCell ref="W13:W14"/>
    <mergeCell ref="R20:W22"/>
    <mergeCell ref="B6:O6"/>
    <mergeCell ref="R6:W6"/>
    <mergeCell ref="N8:O8"/>
    <mergeCell ref="U8:V9"/>
    <mergeCell ref="W8:W9"/>
    <mergeCell ref="R10:T11"/>
    <mergeCell ref="U10:V11"/>
    <mergeCell ref="W10:W11"/>
    <mergeCell ref="U18:V19"/>
    <mergeCell ref="R18:T19"/>
    <mergeCell ref="R15:T17"/>
    <mergeCell ref="U15:V17"/>
    <mergeCell ref="W15:W17"/>
  </mergeCells>
  <conditionalFormatting sqref="U18">
    <cfRule type="iconSet" priority="2">
      <iconSet iconSet="3TrafficLights2">
        <cfvo type="percent" val="0"/>
        <cfvo type="num" val="0"/>
        <cfvo type="num" val="0.1"/>
      </iconSet>
    </cfRule>
  </conditionalFormatting>
  <conditionalFormatting sqref="U26:V27">
    <cfRule type="iconSet" priority="1">
      <iconSet iconSet="3TrafficLights2"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D9 D11 D13 D15 D17 D19 D21 D23 D25 D27">
      <formula1>$D$41:$D$51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3" name="Spinner 1">
              <controlPr defaultSize="0" autoPict="0">
                <anchor moveWithCells="1" sizeWithCells="1">
                  <from>
                    <xdr:col>20</xdr:col>
                    <xdr:colOff>628650</xdr:colOff>
                    <xdr:row>11</xdr:row>
                    <xdr:rowOff>133350</xdr:rowOff>
                  </from>
                  <to>
                    <xdr:col>21</xdr:col>
                    <xdr:colOff>28575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18</vt:i4>
      </vt:variant>
      <vt:variant>
        <vt:lpstr>نطاقات تمت تسميتها</vt:lpstr>
      </vt:variant>
      <vt:variant>
        <vt:i4>12</vt:i4>
      </vt:variant>
    </vt:vector>
  </HeadingPairs>
  <TitlesOfParts>
    <vt:vector size="30" baseType="lpstr">
      <vt:lpstr>ALIMOVINS</vt:lpstr>
      <vt:lpstr>ACCUEIL</vt:lpstr>
      <vt:lpstr>PREVISION</vt:lpstr>
      <vt:lpstr>ANIMAL</vt:lpstr>
      <vt:lpstr>FOURRAGE</vt:lpstr>
      <vt:lpstr>CONCENTRE</vt:lpstr>
      <vt:lpstr>CMV</vt:lpstr>
      <vt:lpstr>BILAN</vt:lpstr>
      <vt:lpstr>MELANGE</vt:lpstr>
      <vt:lpstr>RATION</vt:lpstr>
      <vt:lpstr>COUT</vt:lpstr>
      <vt:lpstr>IMPRIMER</vt:lpstr>
      <vt:lpstr>IMPRIMCOUT</vt:lpstr>
      <vt:lpstr>AGNEAU</vt:lpstr>
      <vt:lpstr>PATURAGE</vt:lpstr>
      <vt:lpstr>NOUVEAU</vt:lpstr>
      <vt:lpstr>STOCKS</vt:lpstr>
      <vt:lpstr>BESOINS</vt:lpstr>
      <vt:lpstr>Brebis</vt:lpstr>
      <vt:lpstr>Céréale</vt:lpstr>
      <vt:lpstr>Divers</vt:lpstr>
      <vt:lpstr>Fibres</vt:lpstr>
      <vt:lpstr>Graines</vt:lpstr>
      <vt:lpstr>Mél</vt:lpstr>
      <vt:lpstr>Melange</vt:lpstr>
      <vt:lpstr>Mes_concentrés</vt:lpstr>
      <vt:lpstr>Minéraux</vt:lpstr>
      <vt:lpstr>ANIMAL!Print_Area</vt:lpstr>
      <vt:lpstr>IMPRIMCOUT!Print_Area</vt:lpstr>
      <vt:lpstr>Tourteau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</dc:creator>
  <cp:lastModifiedBy>ATIA NOUREDDINE</cp:lastModifiedBy>
  <cp:lastPrinted>2015-02-26T13:42:34Z</cp:lastPrinted>
  <dcterms:created xsi:type="dcterms:W3CDTF">2010-06-06T13:02:02Z</dcterms:created>
  <dcterms:modified xsi:type="dcterms:W3CDTF">2026-07-13T16:30:33Z</dcterms:modified>
</cp:coreProperties>
</file>